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5503E72-EC1D-4976-B351-40689F8D6006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Survey Responses" sheetId="1" r:id="rId1"/>
    <sheet name="Regression" sheetId="6" r:id="rId2"/>
    <sheet name="Analysis" sheetId="4" r:id="rId3"/>
    <sheet name="Coorelation" sheetId="5" r:id="rId4"/>
    <sheet name="Questions" sheetId="2" r:id="rId5"/>
    <sheet name="Summary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AB2" i="1"/>
  <c r="AA2" i="1"/>
  <c r="Z2" i="1"/>
  <c r="C23" i="4" l="1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5" i="4"/>
  <c r="C6" i="4"/>
  <c r="C4" i="4"/>
  <c r="G23" i="3"/>
  <c r="F23" i="3"/>
  <c r="E23" i="3"/>
  <c r="D23" i="3"/>
  <c r="C23" i="3"/>
  <c r="G22" i="3"/>
  <c r="F22" i="3"/>
  <c r="E22" i="3"/>
  <c r="D22" i="3"/>
  <c r="C22" i="3"/>
  <c r="G21" i="3"/>
  <c r="F21" i="3"/>
  <c r="E21" i="3"/>
  <c r="D21" i="3"/>
  <c r="C21" i="3"/>
  <c r="G20" i="3"/>
  <c r="F20" i="3"/>
  <c r="E20" i="3"/>
  <c r="D20" i="3"/>
  <c r="C20" i="3"/>
  <c r="G19" i="3"/>
  <c r="F19" i="3"/>
  <c r="E19" i="3"/>
  <c r="D19" i="3"/>
  <c r="C19" i="3"/>
  <c r="G18" i="3"/>
  <c r="F18" i="3"/>
  <c r="E18" i="3"/>
  <c r="D18" i="3"/>
  <c r="C18" i="3"/>
  <c r="G17" i="3"/>
  <c r="F17" i="3"/>
  <c r="E17" i="3"/>
  <c r="D17" i="3"/>
  <c r="C17" i="3"/>
  <c r="G16" i="3"/>
  <c r="F16" i="3"/>
  <c r="E16" i="3"/>
  <c r="D16" i="3"/>
  <c r="C16" i="3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H18" i="3" l="1"/>
  <c r="H20" i="3"/>
  <c r="H9" i="3"/>
  <c r="H17" i="3"/>
  <c r="H13" i="3"/>
  <c r="H12" i="3"/>
  <c r="H11" i="3"/>
  <c r="H10" i="3"/>
  <c r="H8" i="3"/>
  <c r="H7" i="3"/>
  <c r="H6" i="3"/>
  <c r="H5" i="3"/>
  <c r="H4" i="3"/>
  <c r="H23" i="3"/>
  <c r="H22" i="3"/>
  <c r="H16" i="3"/>
  <c r="H19" i="3"/>
  <c r="H21" i="3"/>
  <c r="H15" i="3"/>
  <c r="H14" i="3"/>
</calcChain>
</file>

<file path=xl/sharedStrings.xml><?xml version="1.0" encoding="utf-8"?>
<sst xmlns="http://schemas.openxmlformats.org/spreadsheetml/2006/main" count="987" uniqueCount="146">
  <si>
    <t>Gender</t>
  </si>
  <si>
    <t>Age Group</t>
  </si>
  <si>
    <t>Industry</t>
  </si>
  <si>
    <t>Role</t>
  </si>
  <si>
    <t>Experience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</si>
  <si>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</si>
  <si>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</si>
  <si>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</si>
  <si>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</si>
  <si>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</si>
  <si>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</si>
  <si>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</si>
  <si>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</si>
  <si>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</si>
  <si>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</si>
  <si>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</si>
  <si>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</si>
  <si>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</si>
  <si>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</si>
  <si>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</si>
  <si>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</si>
  <si>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</si>
  <si>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</si>
  <si>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</si>
  <si>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</si>
  <si>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Male</t>
  </si>
  <si>
    <t>26-35</t>
  </si>
  <si>
    <t>Manufacturing</t>
  </si>
  <si>
    <t>Analyst</t>
  </si>
  <si>
    <t>3-5 years</t>
  </si>
  <si>
    <t>Agree</t>
  </si>
  <si>
    <t>Strongly Agree</t>
  </si>
  <si>
    <t>Disagree</t>
  </si>
  <si>
    <t>Strongly Disagree</t>
  </si>
  <si>
    <t>Neutral</t>
  </si>
  <si>
    <t>Prefer not to say</t>
  </si>
  <si>
    <t>46-55</t>
  </si>
  <si>
    <t>Government</t>
  </si>
  <si>
    <t>Nurse</t>
  </si>
  <si>
    <t>&lt; 1 year</t>
  </si>
  <si>
    <t>Doctor</t>
  </si>
  <si>
    <t>5-10 years</t>
  </si>
  <si>
    <t>Female</t>
  </si>
  <si>
    <t>56+</t>
  </si>
  <si>
    <t>Healthcare</t>
  </si>
  <si>
    <t>Manager</t>
  </si>
  <si>
    <t>Pharma</t>
  </si>
  <si>
    <t>Director</t>
  </si>
  <si>
    <t>36-45</t>
  </si>
  <si>
    <t>Finance</t>
  </si>
  <si>
    <t>Executive</t>
  </si>
  <si>
    <t>1-3 years</t>
  </si>
  <si>
    <t>Administrator</t>
  </si>
  <si>
    <t>18-25</t>
  </si>
  <si>
    <t>IT/Technology</t>
  </si>
  <si>
    <t>Retail</t>
  </si>
  <si>
    <t>Researcher</t>
  </si>
  <si>
    <t>10+ years</t>
  </si>
  <si>
    <t>Consultant</t>
  </si>
  <si>
    <t>Insurance</t>
  </si>
  <si>
    <t>Consulting</t>
  </si>
  <si>
    <t>IT Specialist</t>
  </si>
  <si>
    <t>Education</t>
  </si>
  <si>
    <t>Survey Questions Reference</t>
  </si>
  <si>
    <t>#</t>
  </si>
  <si>
    <t>Question</t>
  </si>
  <si>
    <t>Category</t>
  </si>
  <si>
    <t>AI-driven analytics is being increasingly adopted in healthcare organizations.</t>
  </si>
  <si>
    <t>AI Adoption</t>
  </si>
  <si>
    <t>Technological tools have improved the efficiency of healthcare operations.</t>
  </si>
  <si>
    <t>Technology Efficiency</t>
  </si>
  <si>
    <t>Early identification of diseases plays a crucial role in improving patient outcomes.</t>
  </si>
  <si>
    <t>Patient Outcomes</t>
  </si>
  <si>
    <t>Modern analytical tools help in detecting diseases at an earlier stage.</t>
  </si>
  <si>
    <t>Disease Detection</t>
  </si>
  <si>
    <t>Early diagnosis reduces the cost and complexity of treatment.</t>
  </si>
  <si>
    <t>Cost &amp; Treatment</t>
  </si>
  <si>
    <t>Accurate diagnosis is essential for improving the quality of healthcare services.</t>
  </si>
  <si>
    <t>Diagnosis Quality</t>
  </si>
  <si>
    <t>Use of advanced technologies improves overall operational efficiency in healthcare.</t>
  </si>
  <si>
    <t>Operational Efficiency</t>
  </si>
  <si>
    <t>Technology-driven insights support better decision-making in healthcare organizations.</t>
  </si>
  <si>
    <t>Decision Making</t>
  </si>
  <si>
    <t>Efficient use of resources is important for improving business performance in healthcare.</t>
  </si>
  <si>
    <t>Resource Management</t>
  </si>
  <si>
    <t>Adoption of advanced analytics contributes to better overall performance of healthcare organizations.</t>
  </si>
  <si>
    <t>Organizational Performance</t>
  </si>
  <si>
    <t>AI-powered predictive analytics helps in reducing hospital readmission rates.</t>
  </si>
  <si>
    <t>Predictive Analytics</t>
  </si>
  <si>
    <t>Real-time data monitoring through AI improves patient safety in clinical settings.</t>
  </si>
  <si>
    <t>Patient Safety</t>
  </si>
  <si>
    <t>Healthcare professionals are adequately trained to use AI-based analytical tools.</t>
  </si>
  <si>
    <t>Staff Training</t>
  </si>
  <si>
    <t>AI-driven analytics helps in personalizing treatment plans for individual patients.</t>
  </si>
  <si>
    <t>Personalized Medicine</t>
  </si>
  <si>
    <t>Integration of AI analytics with existing healthcare systems is a complex process.</t>
  </si>
  <si>
    <t>System Integration</t>
  </si>
  <si>
    <t>Data security and patient privacy are major concerns in AI-driven healthcare analytics.</t>
  </si>
  <si>
    <t>Data Security &amp; Privacy</t>
  </si>
  <si>
    <t>AI analytics reduces the administrative burden on healthcare staff.</t>
  </si>
  <si>
    <t>Administrative Efficiency</t>
  </si>
  <si>
    <t>Investment in AI-driven analytics leads to long-term financial benefits for healthcare organizations.</t>
  </si>
  <si>
    <t>Financial Impact</t>
  </si>
  <si>
    <t>AI-based tools improve the accuracy of medical imaging and diagnostic procedures.</t>
  </si>
  <si>
    <t>Medical Imaging</t>
  </si>
  <si>
    <t>The adoption of AI analytics in healthcare will continue to grow significantly in the next 5 years.</t>
  </si>
  <si>
    <t>Future Outlook</t>
  </si>
  <si>
    <t>AI-Driven Analytics and Its Impact on Business Performance — Response Summary (150 Respondents)</t>
  </si>
  <si>
    <t>Total</t>
  </si>
  <si>
    <t>Mean</t>
  </si>
  <si>
    <t>Overall Observation</t>
  </si>
  <si>
    <t>The mean values for all variables range between 3.18 and 3.99, indicating a generally positive perception among respondents toward the use of advanced analytics and technology in healthcare.</t>
  </si>
  <si>
    <t>Interpretation</t>
  </si>
  <si>
    <t>The correlation analysis was conducted to examine the relationship between variables related to technology adoption, early diagnosis, and business performance in healthcare.</t>
  </si>
  <si>
    <t>The results indicate that most of the correlation values are positive but relatively low, suggesting weak relationships between the variables.</t>
  </si>
  <si>
    <t>This implies that while advanced technologies and early diagnosis contribute to healthcare performance, their impact is not strongly linear and may be influenced by multiple external factors.</t>
  </si>
  <si>
    <t>Some moderate relationships were observed among selected variables, indicating that certain aspects of technology and diagnosis have a noticeable influence on business performance.</t>
  </si>
  <si>
    <t>Overall, the findings suggest that although advanced analytics plays a role in improving healthcare outcomes, its impact on business performance is multifaceted and not solely dependent on a single factor.</t>
  </si>
  <si>
    <t>Observation</t>
  </si>
  <si>
    <t>The relatively low correlation values may indicate the presence of other influencing factors such as organizational structure, resource availability, and user acceptance, which were not directly captured in this study.</t>
  </si>
  <si>
    <t>Technology</t>
  </si>
  <si>
    <t>Diagnosis</t>
  </si>
  <si>
    <t>Performance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</si>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</sst>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3"/>
      <color rgb="FF2E75B6"/>
      <name val="Arial"/>
      <family val="2"/>
    </font>
    <font>
      <b/>
      <sz val="9"/>
      <name val="Arial"/>
      <family val="2"/>
    </font>
    <font>
      <i/>
      <sz val="9"/>
      <color rgb="FF555555"/>
      <name val="Arial"/>
      <family val="2"/>
    </font>
    <font>
      <b/>
      <sz val="12"/>
      <color rgb="FF2E75B6"/>
      <name val="Arial"/>
      <family val="2"/>
    </font>
    <font>
      <i/>
      <sz val="11"/>
      <color theme="1"/>
      <name val="Calibri"/>
      <family val="2"/>
      <charset val="1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  <charset val="1"/>
    </font>
    <font>
      <b/>
      <sz val="14"/>
      <color theme="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BF3FB"/>
        <bgColor rgb="FFDEEAF1"/>
      </patternFill>
    </fill>
    <fill>
      <patternFill patternType="solid">
        <fgColor rgb="FFFFFFFF"/>
        <bgColor rgb="FFEBF3FB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DEEAF1"/>
      </patternFill>
    </fill>
  </fills>
  <borders count="5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B0C4DE"/>
      </left>
      <right style="thin">
        <color rgb="FFB0C4DE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/>
    <xf numFmtId="0" fontId="7" fillId="0" borderId="3" xfId="0" applyFont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Continuous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1"/>
  <sheetViews>
    <sheetView topLeftCell="Q1" zoomScaleNormal="100" workbookViewId="0">
      <pane ySplit="1" topLeftCell="A131" activePane="bottomLeft" state="frozen"/>
      <selection pane="bottomLeft" activeCell="AC16" sqref="AC16"/>
    </sheetView>
  </sheetViews>
  <sheetFormatPr defaultColWidth="8.6328125" defaultRowHeight="14.5" x14ac:dyDescent="0.35"/>
  <cols>
    <col min="1" max="1" width="14" customWidth="1"/>
    <col min="2" max="2" width="18" customWidth="1"/>
    <col min="3" max="3" width="12.90625" bestFit="1" customWidth="1"/>
    <col min="4" max="4" width="12" customWidth="1"/>
    <col min="5" max="7" width="16" customWidth="1"/>
    <col min="8" max="27" width="12" customWidth="1"/>
  </cols>
  <sheetData>
    <row r="1" spans="1:2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0" t="s">
        <v>120</v>
      </c>
      <c r="AA1" s="20" t="s">
        <v>121</v>
      </c>
      <c r="AB1" s="20" t="s">
        <v>122</v>
      </c>
    </row>
    <row r="2" spans="1:28" x14ac:dyDescent="0.3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>
        <v>4</v>
      </c>
      <c r="G2" s="2">
        <v>4</v>
      </c>
      <c r="H2" s="2">
        <v>5</v>
      </c>
      <c r="I2" s="2">
        <v>2</v>
      </c>
      <c r="J2" s="2">
        <v>4</v>
      </c>
      <c r="K2" s="2">
        <v>4</v>
      </c>
      <c r="L2" s="2">
        <v>5</v>
      </c>
      <c r="M2" s="2">
        <v>1</v>
      </c>
      <c r="N2" s="2">
        <v>5</v>
      </c>
      <c r="O2" s="2">
        <v>2</v>
      </c>
      <c r="P2" s="2">
        <v>5</v>
      </c>
      <c r="Q2" s="2">
        <v>4</v>
      </c>
      <c r="R2" s="2">
        <v>5</v>
      </c>
      <c r="S2" s="2">
        <v>3</v>
      </c>
      <c r="T2" s="2">
        <v>3</v>
      </c>
      <c r="U2" s="2">
        <v>2</v>
      </c>
      <c r="V2" s="2">
        <v>4</v>
      </c>
      <c r="W2" s="2">
        <v>4</v>
      </c>
      <c r="X2" s="2">
        <v>3</v>
      </c>
      <c r="Y2" s="2">
        <v>3</v>
      </c>
      <c r="Z2">
        <f t="shared" ref="Z2:Z33" si="0">AVERAGE(F2:H2)</f>
        <v>4.333333333333333</v>
      </c>
      <c r="AA2">
        <f>AVERAGE(I2:K2)</f>
        <v>3.3333333333333335</v>
      </c>
      <c r="AB2">
        <f>AVERAGE(L2:O2)</f>
        <v>3.25</v>
      </c>
    </row>
    <row r="3" spans="1:28" x14ac:dyDescent="0.3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>
        <v>2</v>
      </c>
      <c r="G3" s="3">
        <v>5</v>
      </c>
      <c r="H3" s="3">
        <v>5</v>
      </c>
      <c r="I3" s="3">
        <v>3</v>
      </c>
      <c r="J3" s="3">
        <v>3</v>
      </c>
      <c r="K3" s="3">
        <v>2</v>
      </c>
      <c r="L3" s="3">
        <v>4</v>
      </c>
      <c r="M3" s="3">
        <v>5</v>
      </c>
      <c r="N3" s="3">
        <v>5</v>
      </c>
      <c r="O3" s="3">
        <v>5</v>
      </c>
      <c r="P3" s="3">
        <v>5</v>
      </c>
      <c r="Q3" s="3">
        <v>3</v>
      </c>
      <c r="R3" s="3">
        <v>4</v>
      </c>
      <c r="S3" s="3">
        <v>5</v>
      </c>
      <c r="T3" s="3">
        <v>5</v>
      </c>
      <c r="U3" s="3">
        <v>4</v>
      </c>
      <c r="V3" s="3">
        <v>4</v>
      </c>
      <c r="W3" s="3">
        <v>5</v>
      </c>
      <c r="X3" s="3">
        <v>5</v>
      </c>
      <c r="Y3" s="3">
        <v>4</v>
      </c>
      <c r="Z3">
        <f t="shared" si="0"/>
        <v>4</v>
      </c>
      <c r="AA3">
        <f t="shared" ref="AA3:AA66" si="1">AVERAGE(I3:K3)</f>
        <v>2.6666666666666665</v>
      </c>
      <c r="AB3">
        <f t="shared" ref="AB3:AB66" si="2">AVERAGE(L3:O3)</f>
        <v>4.75</v>
      </c>
    </row>
    <row r="4" spans="1:28" x14ac:dyDescent="0.35">
      <c r="A4" s="2" t="s">
        <v>25</v>
      </c>
      <c r="B4" s="2" t="s">
        <v>26</v>
      </c>
      <c r="C4" s="2" t="s">
        <v>37</v>
      </c>
      <c r="D4" s="2" t="s">
        <v>40</v>
      </c>
      <c r="E4" s="2" t="s">
        <v>41</v>
      </c>
      <c r="F4" s="2">
        <v>4</v>
      </c>
      <c r="G4" s="2">
        <v>5</v>
      </c>
      <c r="H4" s="2">
        <v>4</v>
      </c>
      <c r="I4" s="2">
        <v>5</v>
      </c>
      <c r="J4" s="2">
        <v>1</v>
      </c>
      <c r="K4" s="2">
        <v>4</v>
      </c>
      <c r="L4" s="2">
        <v>1</v>
      </c>
      <c r="M4" s="2">
        <v>3</v>
      </c>
      <c r="N4" s="2">
        <v>5</v>
      </c>
      <c r="O4" s="2">
        <v>2</v>
      </c>
      <c r="P4" s="2">
        <v>5</v>
      </c>
      <c r="Q4" s="2">
        <v>5</v>
      </c>
      <c r="R4" s="2">
        <v>4</v>
      </c>
      <c r="S4" s="2">
        <v>1</v>
      </c>
      <c r="T4" s="2">
        <v>4</v>
      </c>
      <c r="U4" s="2">
        <v>5</v>
      </c>
      <c r="V4" s="2">
        <v>2</v>
      </c>
      <c r="W4" s="2">
        <v>3</v>
      </c>
      <c r="X4" s="2">
        <v>2</v>
      </c>
      <c r="Y4" s="2">
        <v>5</v>
      </c>
      <c r="Z4">
        <f t="shared" si="0"/>
        <v>4.333333333333333</v>
      </c>
      <c r="AA4">
        <f t="shared" si="1"/>
        <v>3.3333333333333335</v>
      </c>
      <c r="AB4">
        <f t="shared" si="2"/>
        <v>2.75</v>
      </c>
    </row>
    <row r="5" spans="1:28" x14ac:dyDescent="0.35">
      <c r="A5" s="3" t="s">
        <v>42</v>
      </c>
      <c r="B5" s="3" t="s">
        <v>43</v>
      </c>
      <c r="C5" s="3" t="s">
        <v>44</v>
      </c>
      <c r="D5" s="3" t="s">
        <v>45</v>
      </c>
      <c r="E5" s="3" t="s">
        <v>41</v>
      </c>
      <c r="F5" s="3">
        <v>2</v>
      </c>
      <c r="G5" s="3">
        <v>5</v>
      </c>
      <c r="H5" s="3">
        <v>5</v>
      </c>
      <c r="I5" s="3">
        <v>4</v>
      </c>
      <c r="J5" s="3">
        <v>3</v>
      </c>
      <c r="K5" s="3">
        <v>5</v>
      </c>
      <c r="L5" s="3">
        <v>4</v>
      </c>
      <c r="M5" s="3">
        <v>5</v>
      </c>
      <c r="N5" s="3">
        <v>5</v>
      </c>
      <c r="O5" s="3">
        <v>2</v>
      </c>
      <c r="P5" s="3">
        <v>5</v>
      </c>
      <c r="Q5" s="3">
        <v>3</v>
      </c>
      <c r="R5" s="3">
        <v>2</v>
      </c>
      <c r="S5" s="3">
        <v>5</v>
      </c>
      <c r="T5" s="3">
        <v>2</v>
      </c>
      <c r="U5" s="3">
        <v>3</v>
      </c>
      <c r="V5" s="3">
        <v>1</v>
      </c>
      <c r="W5" s="3">
        <v>5</v>
      </c>
      <c r="X5" s="3">
        <v>5</v>
      </c>
      <c r="Y5" s="3">
        <v>5</v>
      </c>
      <c r="Z5">
        <f t="shared" si="0"/>
        <v>4</v>
      </c>
      <c r="AA5">
        <f t="shared" si="1"/>
        <v>4</v>
      </c>
      <c r="AB5">
        <f t="shared" si="2"/>
        <v>4</v>
      </c>
    </row>
    <row r="6" spans="1:28" x14ac:dyDescent="0.35">
      <c r="A6" s="2" t="s">
        <v>35</v>
      </c>
      <c r="B6" s="2" t="s">
        <v>36</v>
      </c>
      <c r="C6" s="2" t="s">
        <v>46</v>
      </c>
      <c r="D6" s="2" t="s">
        <v>38</v>
      </c>
      <c r="E6" s="2" t="s">
        <v>29</v>
      </c>
      <c r="F6" s="2">
        <v>4</v>
      </c>
      <c r="G6" s="2">
        <v>5</v>
      </c>
      <c r="H6" s="2">
        <v>4</v>
      </c>
      <c r="I6" s="2">
        <v>4</v>
      </c>
      <c r="J6" s="2">
        <v>4</v>
      </c>
      <c r="K6" s="2">
        <v>4</v>
      </c>
      <c r="L6" s="2">
        <v>5</v>
      </c>
      <c r="M6" s="2">
        <v>1</v>
      </c>
      <c r="N6" s="2">
        <v>4</v>
      </c>
      <c r="O6" s="2">
        <v>1</v>
      </c>
      <c r="P6" s="2">
        <v>4</v>
      </c>
      <c r="Q6" s="2">
        <v>1</v>
      </c>
      <c r="R6" s="2">
        <v>4</v>
      </c>
      <c r="S6" s="2">
        <v>2</v>
      </c>
      <c r="T6" s="2">
        <v>2</v>
      </c>
      <c r="U6" s="2">
        <v>2</v>
      </c>
      <c r="V6" s="2">
        <v>4</v>
      </c>
      <c r="W6" s="2">
        <v>2</v>
      </c>
      <c r="X6" s="2">
        <v>5</v>
      </c>
      <c r="Y6" s="2">
        <v>4</v>
      </c>
      <c r="Z6">
        <f t="shared" si="0"/>
        <v>4.333333333333333</v>
      </c>
      <c r="AA6">
        <f t="shared" si="1"/>
        <v>4</v>
      </c>
      <c r="AB6">
        <f t="shared" si="2"/>
        <v>2.75</v>
      </c>
    </row>
    <row r="7" spans="1:28" x14ac:dyDescent="0.35">
      <c r="A7" s="3" t="s">
        <v>35</v>
      </c>
      <c r="B7" s="3" t="s">
        <v>36</v>
      </c>
      <c r="C7" s="3" t="s">
        <v>27</v>
      </c>
      <c r="D7" s="3" t="s">
        <v>47</v>
      </c>
      <c r="E7" s="3" t="s">
        <v>29</v>
      </c>
      <c r="F7" s="3">
        <v>3</v>
      </c>
      <c r="G7" s="3">
        <v>5</v>
      </c>
      <c r="H7" s="3">
        <v>2</v>
      </c>
      <c r="I7" s="3">
        <v>4</v>
      </c>
      <c r="J7" s="3">
        <v>3</v>
      </c>
      <c r="K7" s="3">
        <v>3</v>
      </c>
      <c r="L7" s="3">
        <v>3</v>
      </c>
      <c r="M7" s="3">
        <v>3</v>
      </c>
      <c r="N7" s="3">
        <v>5</v>
      </c>
      <c r="O7" s="3">
        <v>4</v>
      </c>
      <c r="P7" s="3">
        <v>5</v>
      </c>
      <c r="Q7" s="3">
        <v>5</v>
      </c>
      <c r="R7" s="3">
        <v>4</v>
      </c>
      <c r="S7" s="3">
        <v>4</v>
      </c>
      <c r="T7" s="3">
        <v>4</v>
      </c>
      <c r="U7" s="3">
        <v>5</v>
      </c>
      <c r="V7" s="3">
        <v>3</v>
      </c>
      <c r="W7" s="3">
        <v>5</v>
      </c>
      <c r="X7" s="3">
        <v>5</v>
      </c>
      <c r="Y7" s="3">
        <v>5</v>
      </c>
      <c r="Z7">
        <f t="shared" si="0"/>
        <v>3.3333333333333335</v>
      </c>
      <c r="AA7">
        <f t="shared" si="1"/>
        <v>3.3333333333333335</v>
      </c>
      <c r="AB7">
        <f t="shared" si="2"/>
        <v>3.75</v>
      </c>
    </row>
    <row r="8" spans="1:28" x14ac:dyDescent="0.35">
      <c r="A8" s="2" t="s">
        <v>25</v>
      </c>
      <c r="B8" s="2" t="s">
        <v>48</v>
      </c>
      <c r="C8" s="2" t="s">
        <v>49</v>
      </c>
      <c r="D8" s="2" t="s">
        <v>50</v>
      </c>
      <c r="E8" s="2" t="s">
        <v>51</v>
      </c>
      <c r="F8" s="2">
        <v>3</v>
      </c>
      <c r="G8" s="2">
        <v>5</v>
      </c>
      <c r="H8" s="2">
        <v>2</v>
      </c>
      <c r="I8" s="2">
        <v>5</v>
      </c>
      <c r="J8" s="2">
        <v>4</v>
      </c>
      <c r="K8" s="2">
        <v>5</v>
      </c>
      <c r="L8" s="2">
        <v>4</v>
      </c>
      <c r="M8" s="2">
        <v>1</v>
      </c>
      <c r="N8" s="2">
        <v>1</v>
      </c>
      <c r="O8" s="2">
        <v>4</v>
      </c>
      <c r="P8" s="2">
        <v>4</v>
      </c>
      <c r="Q8" s="2">
        <v>4</v>
      </c>
      <c r="R8" s="2">
        <v>5</v>
      </c>
      <c r="S8" s="2">
        <v>3</v>
      </c>
      <c r="T8" s="2">
        <v>2</v>
      </c>
      <c r="U8" s="2">
        <v>5</v>
      </c>
      <c r="V8" s="2">
        <v>1</v>
      </c>
      <c r="W8" s="2">
        <v>4</v>
      </c>
      <c r="X8" s="2">
        <v>4</v>
      </c>
      <c r="Y8" s="2">
        <v>5</v>
      </c>
      <c r="Z8">
        <f t="shared" si="0"/>
        <v>3.3333333333333335</v>
      </c>
      <c r="AA8">
        <f t="shared" si="1"/>
        <v>4.666666666666667</v>
      </c>
      <c r="AB8">
        <f t="shared" si="2"/>
        <v>2.5</v>
      </c>
    </row>
    <row r="9" spans="1:28" x14ac:dyDescent="0.35">
      <c r="A9" s="3" t="s">
        <v>25</v>
      </c>
      <c r="B9" s="3" t="s">
        <v>48</v>
      </c>
      <c r="C9" s="3" t="s">
        <v>46</v>
      </c>
      <c r="D9" s="3" t="s">
        <v>52</v>
      </c>
      <c r="E9" s="3" t="s">
        <v>39</v>
      </c>
      <c r="F9" s="3">
        <v>1</v>
      </c>
      <c r="G9" s="3">
        <v>5</v>
      </c>
      <c r="H9" s="3">
        <v>3</v>
      </c>
      <c r="I9" s="3">
        <v>4</v>
      </c>
      <c r="J9" s="3">
        <v>5</v>
      </c>
      <c r="K9" s="3">
        <v>5</v>
      </c>
      <c r="L9" s="3">
        <v>2</v>
      </c>
      <c r="M9" s="3">
        <v>1</v>
      </c>
      <c r="N9" s="3">
        <v>1</v>
      </c>
      <c r="O9" s="3">
        <v>5</v>
      </c>
      <c r="P9" s="3">
        <v>1</v>
      </c>
      <c r="Q9" s="3">
        <v>5</v>
      </c>
      <c r="R9" s="3">
        <v>4</v>
      </c>
      <c r="S9" s="3">
        <v>5</v>
      </c>
      <c r="T9" s="3">
        <v>5</v>
      </c>
      <c r="U9" s="3">
        <v>5</v>
      </c>
      <c r="V9" s="3">
        <v>5</v>
      </c>
      <c r="W9" s="3">
        <v>4</v>
      </c>
      <c r="X9" s="3">
        <v>5</v>
      </c>
      <c r="Y9" s="3">
        <v>2</v>
      </c>
      <c r="Z9">
        <f t="shared" si="0"/>
        <v>3</v>
      </c>
      <c r="AA9">
        <f t="shared" si="1"/>
        <v>4.666666666666667</v>
      </c>
      <c r="AB9">
        <f t="shared" si="2"/>
        <v>2.25</v>
      </c>
    </row>
    <row r="10" spans="1:28" x14ac:dyDescent="0.35">
      <c r="A10" s="2" t="s">
        <v>35</v>
      </c>
      <c r="B10" s="2" t="s">
        <v>53</v>
      </c>
      <c r="C10" s="2" t="s">
        <v>54</v>
      </c>
      <c r="D10" s="2" t="s">
        <v>40</v>
      </c>
      <c r="E10" s="2" t="s">
        <v>51</v>
      </c>
      <c r="F10" s="2">
        <v>4</v>
      </c>
      <c r="G10" s="2">
        <v>5</v>
      </c>
      <c r="H10" s="2">
        <v>4</v>
      </c>
      <c r="I10" s="2">
        <v>4</v>
      </c>
      <c r="J10" s="2">
        <v>3</v>
      </c>
      <c r="K10" s="2">
        <v>5</v>
      </c>
      <c r="L10" s="2">
        <v>5</v>
      </c>
      <c r="M10" s="2">
        <v>3</v>
      </c>
      <c r="N10" s="2">
        <v>5</v>
      </c>
      <c r="O10" s="2">
        <v>4</v>
      </c>
      <c r="P10" s="2">
        <v>3</v>
      </c>
      <c r="Q10" s="2">
        <v>4</v>
      </c>
      <c r="R10" s="2">
        <v>2</v>
      </c>
      <c r="S10" s="2">
        <v>4</v>
      </c>
      <c r="T10" s="2">
        <v>5</v>
      </c>
      <c r="U10" s="2">
        <v>4</v>
      </c>
      <c r="V10" s="2">
        <v>4</v>
      </c>
      <c r="W10" s="2">
        <v>3</v>
      </c>
      <c r="X10" s="2">
        <v>5</v>
      </c>
      <c r="Y10" s="2">
        <v>3</v>
      </c>
      <c r="Z10">
        <f t="shared" si="0"/>
        <v>4.333333333333333</v>
      </c>
      <c r="AA10">
        <f t="shared" si="1"/>
        <v>4</v>
      </c>
      <c r="AB10">
        <f t="shared" si="2"/>
        <v>4.25</v>
      </c>
    </row>
    <row r="11" spans="1:28" x14ac:dyDescent="0.35">
      <c r="A11" s="3" t="s">
        <v>35</v>
      </c>
      <c r="B11" s="3" t="s">
        <v>26</v>
      </c>
      <c r="C11" s="3" t="s">
        <v>55</v>
      </c>
      <c r="D11" s="3" t="s">
        <v>56</v>
      </c>
      <c r="E11" s="3" t="s">
        <v>51</v>
      </c>
      <c r="F11" s="3">
        <v>5</v>
      </c>
      <c r="G11" s="3">
        <v>4</v>
      </c>
      <c r="H11" s="3">
        <v>3</v>
      </c>
      <c r="I11" s="3">
        <v>3</v>
      </c>
      <c r="J11" s="3">
        <v>5</v>
      </c>
      <c r="K11" s="3">
        <v>4</v>
      </c>
      <c r="L11" s="3">
        <v>4</v>
      </c>
      <c r="M11" s="3">
        <v>4</v>
      </c>
      <c r="N11" s="3">
        <v>2</v>
      </c>
      <c r="O11" s="3">
        <v>4</v>
      </c>
      <c r="P11" s="3">
        <v>2</v>
      </c>
      <c r="Q11" s="3">
        <v>3</v>
      </c>
      <c r="R11" s="3">
        <v>5</v>
      </c>
      <c r="S11" s="3">
        <v>5</v>
      </c>
      <c r="T11" s="3">
        <v>4</v>
      </c>
      <c r="U11" s="3">
        <v>4</v>
      </c>
      <c r="V11" s="3">
        <v>4</v>
      </c>
      <c r="W11" s="3">
        <v>4</v>
      </c>
      <c r="X11" s="3">
        <v>4</v>
      </c>
      <c r="Y11" s="3">
        <v>5</v>
      </c>
      <c r="Z11">
        <f t="shared" si="0"/>
        <v>4</v>
      </c>
      <c r="AA11">
        <f t="shared" si="1"/>
        <v>4</v>
      </c>
      <c r="AB11">
        <f t="shared" si="2"/>
        <v>3.5</v>
      </c>
    </row>
    <row r="12" spans="1:28" x14ac:dyDescent="0.35">
      <c r="A12" s="2" t="s">
        <v>35</v>
      </c>
      <c r="B12" s="2" t="s">
        <v>48</v>
      </c>
      <c r="C12" s="2" t="s">
        <v>46</v>
      </c>
      <c r="D12" s="2" t="s">
        <v>40</v>
      </c>
      <c r="E12" s="2" t="s">
        <v>41</v>
      </c>
      <c r="F12" s="2">
        <v>5</v>
      </c>
      <c r="G12" s="2">
        <v>4</v>
      </c>
      <c r="H12" s="2">
        <v>5</v>
      </c>
      <c r="I12" s="2">
        <v>4</v>
      </c>
      <c r="J12" s="2">
        <v>5</v>
      </c>
      <c r="K12" s="2">
        <v>1</v>
      </c>
      <c r="L12" s="2">
        <v>4</v>
      </c>
      <c r="M12" s="2">
        <v>5</v>
      </c>
      <c r="N12" s="2">
        <v>4</v>
      </c>
      <c r="O12" s="2">
        <v>5</v>
      </c>
      <c r="P12" s="2">
        <v>4</v>
      </c>
      <c r="Q12" s="2">
        <v>1</v>
      </c>
      <c r="R12" s="2">
        <v>1</v>
      </c>
      <c r="S12" s="2">
        <v>3</v>
      </c>
      <c r="T12" s="2">
        <v>5</v>
      </c>
      <c r="U12" s="2">
        <v>5</v>
      </c>
      <c r="V12" s="2">
        <v>4</v>
      </c>
      <c r="W12" s="2">
        <v>5</v>
      </c>
      <c r="X12" s="2">
        <v>4</v>
      </c>
      <c r="Y12" s="2">
        <v>3</v>
      </c>
      <c r="Z12">
        <f t="shared" si="0"/>
        <v>4.666666666666667</v>
      </c>
      <c r="AA12">
        <f t="shared" si="1"/>
        <v>3.3333333333333335</v>
      </c>
      <c r="AB12">
        <f t="shared" si="2"/>
        <v>4.5</v>
      </c>
    </row>
    <row r="13" spans="1:28" x14ac:dyDescent="0.35">
      <c r="A13" s="3" t="s">
        <v>25</v>
      </c>
      <c r="B13" s="3" t="s">
        <v>26</v>
      </c>
      <c r="C13" s="3" t="s">
        <v>44</v>
      </c>
      <c r="D13" s="3" t="s">
        <v>40</v>
      </c>
      <c r="E13" s="3" t="s">
        <v>57</v>
      </c>
      <c r="F13" s="3">
        <v>3</v>
      </c>
      <c r="G13" s="3">
        <v>4</v>
      </c>
      <c r="H13" s="3">
        <v>2</v>
      </c>
      <c r="I13" s="3">
        <v>5</v>
      </c>
      <c r="J13" s="3">
        <v>3</v>
      </c>
      <c r="K13" s="3">
        <v>5</v>
      </c>
      <c r="L13" s="3">
        <v>2</v>
      </c>
      <c r="M13" s="3">
        <v>4</v>
      </c>
      <c r="N13" s="3">
        <v>1</v>
      </c>
      <c r="O13" s="3">
        <v>4</v>
      </c>
      <c r="P13" s="3">
        <v>4</v>
      </c>
      <c r="Q13" s="3">
        <v>4</v>
      </c>
      <c r="R13" s="3">
        <v>2</v>
      </c>
      <c r="S13" s="3">
        <v>4</v>
      </c>
      <c r="T13" s="3">
        <v>1</v>
      </c>
      <c r="U13" s="3">
        <v>5</v>
      </c>
      <c r="V13" s="3">
        <v>4</v>
      </c>
      <c r="W13" s="3">
        <v>4</v>
      </c>
      <c r="X13" s="3">
        <v>4</v>
      </c>
      <c r="Y13" s="3">
        <v>1</v>
      </c>
      <c r="Z13">
        <f t="shared" si="0"/>
        <v>3</v>
      </c>
      <c r="AA13">
        <f t="shared" si="1"/>
        <v>4.333333333333333</v>
      </c>
      <c r="AB13">
        <f t="shared" si="2"/>
        <v>2.75</v>
      </c>
    </row>
    <row r="14" spans="1:28" x14ac:dyDescent="0.35">
      <c r="A14" s="2" t="s">
        <v>42</v>
      </c>
      <c r="B14" s="2" t="s">
        <v>36</v>
      </c>
      <c r="C14" s="2" t="s">
        <v>46</v>
      </c>
      <c r="D14" s="2" t="s">
        <v>58</v>
      </c>
      <c r="E14" s="2" t="s">
        <v>41</v>
      </c>
      <c r="F14" s="2">
        <v>4</v>
      </c>
      <c r="G14" s="2">
        <v>5</v>
      </c>
      <c r="H14" s="2">
        <v>4</v>
      </c>
      <c r="I14" s="2">
        <v>4</v>
      </c>
      <c r="J14" s="2">
        <v>4</v>
      </c>
      <c r="K14" s="2">
        <v>5</v>
      </c>
      <c r="L14" s="2">
        <v>1</v>
      </c>
      <c r="M14" s="2">
        <v>4</v>
      </c>
      <c r="N14" s="2">
        <v>4</v>
      </c>
      <c r="O14" s="2">
        <v>4</v>
      </c>
      <c r="P14" s="2">
        <v>2</v>
      </c>
      <c r="Q14" s="2">
        <v>5</v>
      </c>
      <c r="R14" s="2">
        <v>4</v>
      </c>
      <c r="S14" s="2">
        <v>3</v>
      </c>
      <c r="T14" s="2">
        <v>5</v>
      </c>
      <c r="U14" s="2">
        <v>2</v>
      </c>
      <c r="V14" s="2">
        <v>4</v>
      </c>
      <c r="W14" s="2">
        <v>2</v>
      </c>
      <c r="X14" s="2">
        <v>3</v>
      </c>
      <c r="Y14" s="2">
        <v>5</v>
      </c>
      <c r="Z14">
        <f t="shared" si="0"/>
        <v>4.333333333333333</v>
      </c>
      <c r="AA14">
        <f t="shared" si="1"/>
        <v>4.333333333333333</v>
      </c>
      <c r="AB14">
        <f t="shared" si="2"/>
        <v>3.25</v>
      </c>
    </row>
    <row r="15" spans="1:28" x14ac:dyDescent="0.35">
      <c r="A15" s="3" t="s">
        <v>25</v>
      </c>
      <c r="B15" s="3" t="s">
        <v>53</v>
      </c>
      <c r="C15" s="3" t="s">
        <v>59</v>
      </c>
      <c r="D15" s="3" t="s">
        <v>40</v>
      </c>
      <c r="E15" s="3" t="s">
        <v>41</v>
      </c>
      <c r="F15" s="3">
        <v>4</v>
      </c>
      <c r="G15" s="3">
        <v>5</v>
      </c>
      <c r="H15" s="3">
        <v>4</v>
      </c>
      <c r="I15" s="3">
        <v>2</v>
      </c>
      <c r="J15" s="3">
        <v>2</v>
      </c>
      <c r="K15" s="3">
        <v>5</v>
      </c>
      <c r="L15" s="3">
        <v>3</v>
      </c>
      <c r="M15" s="3">
        <v>5</v>
      </c>
      <c r="N15" s="3">
        <v>4</v>
      </c>
      <c r="O15" s="3">
        <v>3</v>
      </c>
      <c r="P15" s="3">
        <v>3</v>
      </c>
      <c r="Q15" s="3">
        <v>5</v>
      </c>
      <c r="R15" s="3">
        <v>3</v>
      </c>
      <c r="S15" s="3">
        <v>3</v>
      </c>
      <c r="T15" s="3">
        <v>5</v>
      </c>
      <c r="U15" s="3">
        <v>1</v>
      </c>
      <c r="V15" s="3">
        <v>1</v>
      </c>
      <c r="W15" s="3">
        <v>5</v>
      </c>
      <c r="X15" s="3">
        <v>3</v>
      </c>
      <c r="Y15" s="3">
        <v>5</v>
      </c>
      <c r="Z15">
        <f t="shared" si="0"/>
        <v>4.333333333333333</v>
      </c>
      <c r="AA15">
        <f t="shared" si="1"/>
        <v>3</v>
      </c>
      <c r="AB15">
        <f t="shared" si="2"/>
        <v>3.75</v>
      </c>
    </row>
    <row r="16" spans="1:28" x14ac:dyDescent="0.35">
      <c r="A16" s="2" t="s">
        <v>25</v>
      </c>
      <c r="B16" s="2" t="s">
        <v>26</v>
      </c>
      <c r="C16" s="2" t="s">
        <v>60</v>
      </c>
      <c r="D16" s="2" t="s">
        <v>61</v>
      </c>
      <c r="E16" s="2" t="s">
        <v>57</v>
      </c>
      <c r="F16" s="2">
        <v>4</v>
      </c>
      <c r="G16" s="2">
        <v>5</v>
      </c>
      <c r="H16" s="2">
        <v>4</v>
      </c>
      <c r="I16" s="2">
        <v>3</v>
      </c>
      <c r="J16" s="2">
        <v>5</v>
      </c>
      <c r="K16" s="2">
        <v>3</v>
      </c>
      <c r="L16" s="2">
        <v>3</v>
      </c>
      <c r="M16" s="2">
        <v>4</v>
      </c>
      <c r="N16" s="2">
        <v>4</v>
      </c>
      <c r="O16" s="2">
        <v>5</v>
      </c>
      <c r="P16" s="2">
        <v>4</v>
      </c>
      <c r="Q16" s="2">
        <v>4</v>
      </c>
      <c r="R16" s="2">
        <v>2</v>
      </c>
      <c r="S16" s="2">
        <v>5</v>
      </c>
      <c r="T16" s="2">
        <v>1</v>
      </c>
      <c r="U16" s="2">
        <v>1</v>
      </c>
      <c r="V16" s="2">
        <v>3</v>
      </c>
      <c r="W16" s="2">
        <v>5</v>
      </c>
      <c r="X16" s="2">
        <v>3</v>
      </c>
      <c r="Y16" s="2">
        <v>4</v>
      </c>
      <c r="Z16">
        <f t="shared" si="0"/>
        <v>4.333333333333333</v>
      </c>
      <c r="AA16">
        <f t="shared" si="1"/>
        <v>3.6666666666666665</v>
      </c>
      <c r="AB16">
        <f t="shared" si="2"/>
        <v>4</v>
      </c>
    </row>
    <row r="17" spans="1:28" x14ac:dyDescent="0.35">
      <c r="A17" s="3" t="s">
        <v>35</v>
      </c>
      <c r="B17" s="3" t="s">
        <v>53</v>
      </c>
      <c r="C17" s="3" t="s">
        <v>37</v>
      </c>
      <c r="D17" s="3" t="s">
        <v>40</v>
      </c>
      <c r="E17" s="3" t="s">
        <v>39</v>
      </c>
      <c r="F17" s="3">
        <v>2</v>
      </c>
      <c r="G17" s="3">
        <v>4</v>
      </c>
      <c r="H17" s="3">
        <v>5</v>
      </c>
      <c r="I17" s="3">
        <v>2</v>
      </c>
      <c r="J17" s="3">
        <v>5</v>
      </c>
      <c r="K17" s="3">
        <v>5</v>
      </c>
      <c r="L17" s="3">
        <v>5</v>
      </c>
      <c r="M17" s="3">
        <v>4</v>
      </c>
      <c r="N17" s="3">
        <v>5</v>
      </c>
      <c r="O17" s="3">
        <v>2</v>
      </c>
      <c r="P17" s="3">
        <v>4</v>
      </c>
      <c r="Q17" s="3">
        <v>5</v>
      </c>
      <c r="R17" s="3">
        <v>4</v>
      </c>
      <c r="S17" s="3">
        <v>1</v>
      </c>
      <c r="T17" s="3">
        <v>3</v>
      </c>
      <c r="U17" s="3">
        <v>4</v>
      </c>
      <c r="V17" s="3">
        <v>4</v>
      </c>
      <c r="W17" s="3">
        <v>4</v>
      </c>
      <c r="X17" s="3">
        <v>3</v>
      </c>
      <c r="Y17" s="3">
        <v>1</v>
      </c>
      <c r="Z17">
        <f t="shared" si="0"/>
        <v>3.6666666666666665</v>
      </c>
      <c r="AA17">
        <f t="shared" si="1"/>
        <v>4</v>
      </c>
      <c r="AB17">
        <f t="shared" si="2"/>
        <v>4</v>
      </c>
    </row>
    <row r="18" spans="1:28" x14ac:dyDescent="0.35">
      <c r="A18" s="2" t="s">
        <v>35</v>
      </c>
      <c r="B18" s="2" t="s">
        <v>26</v>
      </c>
      <c r="C18" s="2" t="s">
        <v>44</v>
      </c>
      <c r="D18" s="2" t="s">
        <v>45</v>
      </c>
      <c r="E18" s="2" t="s">
        <v>41</v>
      </c>
      <c r="F18" s="2">
        <v>4</v>
      </c>
      <c r="G18" s="2">
        <v>3</v>
      </c>
      <c r="H18" s="2">
        <v>4</v>
      </c>
      <c r="I18" s="2">
        <v>2</v>
      </c>
      <c r="J18" s="2">
        <v>3</v>
      </c>
      <c r="K18" s="2">
        <v>3</v>
      </c>
      <c r="L18" s="2">
        <v>3</v>
      </c>
      <c r="M18" s="2">
        <v>3</v>
      </c>
      <c r="N18" s="2">
        <v>4</v>
      </c>
      <c r="O18" s="2">
        <v>4</v>
      </c>
      <c r="P18" s="2">
        <v>3</v>
      </c>
      <c r="Q18" s="2">
        <v>3</v>
      </c>
      <c r="R18" s="2">
        <v>3</v>
      </c>
      <c r="S18" s="2">
        <v>2</v>
      </c>
      <c r="T18" s="2">
        <v>5</v>
      </c>
      <c r="U18" s="2">
        <v>2</v>
      </c>
      <c r="V18" s="2">
        <v>4</v>
      </c>
      <c r="W18" s="2">
        <v>2</v>
      </c>
      <c r="X18" s="2">
        <v>4</v>
      </c>
      <c r="Y18" s="2">
        <v>4</v>
      </c>
      <c r="Z18">
        <f t="shared" si="0"/>
        <v>3.6666666666666665</v>
      </c>
      <c r="AA18">
        <f t="shared" si="1"/>
        <v>2.6666666666666665</v>
      </c>
      <c r="AB18">
        <f t="shared" si="2"/>
        <v>3.5</v>
      </c>
    </row>
    <row r="19" spans="1:28" x14ac:dyDescent="0.35">
      <c r="A19" s="3" t="s">
        <v>35</v>
      </c>
      <c r="B19" s="3" t="s">
        <v>43</v>
      </c>
      <c r="C19" s="3" t="s">
        <v>54</v>
      </c>
      <c r="D19" s="3" t="s">
        <v>40</v>
      </c>
      <c r="E19" s="3" t="s">
        <v>39</v>
      </c>
      <c r="F19" s="3">
        <v>4</v>
      </c>
      <c r="G19" s="3">
        <v>4</v>
      </c>
      <c r="H19" s="3">
        <v>4</v>
      </c>
      <c r="I19" s="3">
        <v>4</v>
      </c>
      <c r="J19" s="3">
        <v>4</v>
      </c>
      <c r="K19" s="3">
        <v>4</v>
      </c>
      <c r="L19" s="3">
        <v>4</v>
      </c>
      <c r="M19" s="3">
        <v>1</v>
      </c>
      <c r="N19" s="3">
        <v>3</v>
      </c>
      <c r="O19" s="3">
        <v>4</v>
      </c>
      <c r="P19" s="3">
        <v>4</v>
      </c>
      <c r="Q19" s="3">
        <v>4</v>
      </c>
      <c r="R19" s="3">
        <v>1</v>
      </c>
      <c r="S19" s="3">
        <v>2</v>
      </c>
      <c r="T19" s="3">
        <v>5</v>
      </c>
      <c r="U19" s="3">
        <v>5</v>
      </c>
      <c r="V19" s="3">
        <v>3</v>
      </c>
      <c r="W19" s="3">
        <v>5</v>
      </c>
      <c r="X19" s="3">
        <v>4</v>
      </c>
      <c r="Y19" s="3">
        <v>5</v>
      </c>
      <c r="Z19">
        <f t="shared" si="0"/>
        <v>4</v>
      </c>
      <c r="AA19">
        <f t="shared" si="1"/>
        <v>4</v>
      </c>
      <c r="AB19">
        <f t="shared" si="2"/>
        <v>3</v>
      </c>
    </row>
    <row r="20" spans="1:28" x14ac:dyDescent="0.35">
      <c r="A20" s="2" t="s">
        <v>42</v>
      </c>
      <c r="B20" s="2" t="s">
        <v>26</v>
      </c>
      <c r="C20" s="2" t="s">
        <v>49</v>
      </c>
      <c r="D20" s="2" t="s">
        <v>38</v>
      </c>
      <c r="E20" s="2" t="s">
        <v>39</v>
      </c>
      <c r="F20" s="2">
        <v>2</v>
      </c>
      <c r="G20" s="2">
        <v>4</v>
      </c>
      <c r="H20" s="2">
        <v>5</v>
      </c>
      <c r="I20" s="2">
        <v>5</v>
      </c>
      <c r="J20" s="2">
        <v>4</v>
      </c>
      <c r="K20" s="2">
        <v>3</v>
      </c>
      <c r="L20" s="2">
        <v>4</v>
      </c>
      <c r="M20" s="2">
        <v>4</v>
      </c>
      <c r="N20" s="2">
        <v>4</v>
      </c>
      <c r="O20" s="2">
        <v>1</v>
      </c>
      <c r="P20" s="2">
        <v>5</v>
      </c>
      <c r="Q20" s="2">
        <v>4</v>
      </c>
      <c r="R20" s="2">
        <v>2</v>
      </c>
      <c r="S20" s="2">
        <v>5</v>
      </c>
      <c r="T20" s="2">
        <v>5</v>
      </c>
      <c r="U20" s="2">
        <v>1</v>
      </c>
      <c r="V20" s="2">
        <v>5</v>
      </c>
      <c r="W20" s="2">
        <v>3</v>
      </c>
      <c r="X20" s="2">
        <v>2</v>
      </c>
      <c r="Y20" s="2">
        <v>5</v>
      </c>
      <c r="Z20">
        <f t="shared" si="0"/>
        <v>3.6666666666666665</v>
      </c>
      <c r="AA20">
        <f t="shared" si="1"/>
        <v>4</v>
      </c>
      <c r="AB20">
        <f t="shared" si="2"/>
        <v>3.25</v>
      </c>
    </row>
    <row r="21" spans="1:28" x14ac:dyDescent="0.35">
      <c r="A21" s="3" t="s">
        <v>42</v>
      </c>
      <c r="B21" s="3" t="s">
        <v>53</v>
      </c>
      <c r="C21" s="3" t="s">
        <v>46</v>
      </c>
      <c r="D21" s="3" t="s">
        <v>47</v>
      </c>
      <c r="E21" s="3" t="s">
        <v>51</v>
      </c>
      <c r="F21" s="3">
        <v>5</v>
      </c>
      <c r="G21" s="3">
        <v>4</v>
      </c>
      <c r="H21" s="3">
        <v>5</v>
      </c>
      <c r="I21" s="3">
        <v>3</v>
      </c>
      <c r="J21" s="3">
        <v>3</v>
      </c>
      <c r="K21" s="3">
        <v>5</v>
      </c>
      <c r="L21" s="3">
        <v>3</v>
      </c>
      <c r="M21" s="3">
        <v>3</v>
      </c>
      <c r="N21" s="3">
        <v>5</v>
      </c>
      <c r="O21" s="3">
        <v>3</v>
      </c>
      <c r="P21" s="3">
        <v>5</v>
      </c>
      <c r="Q21" s="3">
        <v>5</v>
      </c>
      <c r="R21" s="3">
        <v>4</v>
      </c>
      <c r="S21" s="3">
        <v>1</v>
      </c>
      <c r="T21" s="3">
        <v>4</v>
      </c>
      <c r="U21" s="3">
        <v>2</v>
      </c>
      <c r="V21" s="3">
        <v>5</v>
      </c>
      <c r="W21" s="3">
        <v>5</v>
      </c>
      <c r="X21" s="3">
        <v>5</v>
      </c>
      <c r="Y21" s="3">
        <v>5</v>
      </c>
      <c r="Z21">
        <f t="shared" si="0"/>
        <v>4.666666666666667</v>
      </c>
      <c r="AA21">
        <f t="shared" si="1"/>
        <v>3.6666666666666665</v>
      </c>
      <c r="AB21">
        <f t="shared" si="2"/>
        <v>3.5</v>
      </c>
    </row>
    <row r="22" spans="1:28" x14ac:dyDescent="0.35">
      <c r="A22" s="2" t="s">
        <v>42</v>
      </c>
      <c r="B22" s="2" t="s">
        <v>48</v>
      </c>
      <c r="C22" s="2" t="s">
        <v>27</v>
      </c>
      <c r="D22" s="2" t="s">
        <v>38</v>
      </c>
      <c r="E22" s="2" t="s">
        <v>51</v>
      </c>
      <c r="F22" s="2">
        <v>4</v>
      </c>
      <c r="G22" s="2">
        <v>1</v>
      </c>
      <c r="H22" s="2">
        <v>5</v>
      </c>
      <c r="I22" s="2">
        <v>4</v>
      </c>
      <c r="J22" s="2">
        <v>4</v>
      </c>
      <c r="K22" s="2">
        <v>5</v>
      </c>
      <c r="L22" s="2">
        <v>5</v>
      </c>
      <c r="M22" s="2">
        <v>3</v>
      </c>
      <c r="N22" s="2">
        <v>5</v>
      </c>
      <c r="O22" s="2">
        <v>2</v>
      </c>
      <c r="P22" s="2">
        <v>5</v>
      </c>
      <c r="Q22" s="2">
        <v>4</v>
      </c>
      <c r="R22" s="2">
        <v>5</v>
      </c>
      <c r="S22" s="2">
        <v>4</v>
      </c>
      <c r="T22" s="2">
        <v>5</v>
      </c>
      <c r="U22" s="2">
        <v>5</v>
      </c>
      <c r="V22" s="2">
        <v>3</v>
      </c>
      <c r="W22" s="2">
        <v>3</v>
      </c>
      <c r="X22" s="2">
        <v>5</v>
      </c>
      <c r="Y22" s="2">
        <v>5</v>
      </c>
      <c r="Z22">
        <f t="shared" si="0"/>
        <v>3.3333333333333335</v>
      </c>
      <c r="AA22">
        <f t="shared" si="1"/>
        <v>4.333333333333333</v>
      </c>
      <c r="AB22">
        <f t="shared" si="2"/>
        <v>3.75</v>
      </c>
    </row>
    <row r="23" spans="1:28" x14ac:dyDescent="0.35">
      <c r="A23" s="3" t="s">
        <v>35</v>
      </c>
      <c r="B23" s="3" t="s">
        <v>43</v>
      </c>
      <c r="C23" s="3" t="s">
        <v>44</v>
      </c>
      <c r="D23" s="3" t="s">
        <v>47</v>
      </c>
      <c r="E23" s="3" t="s">
        <v>57</v>
      </c>
      <c r="F23" s="3">
        <v>4</v>
      </c>
      <c r="G23" s="3">
        <v>3</v>
      </c>
      <c r="H23" s="3">
        <v>4</v>
      </c>
      <c r="I23" s="3">
        <v>5</v>
      </c>
      <c r="J23" s="3">
        <v>5</v>
      </c>
      <c r="K23" s="3">
        <v>2</v>
      </c>
      <c r="L23" s="3">
        <v>4</v>
      </c>
      <c r="M23" s="3">
        <v>2</v>
      </c>
      <c r="N23" s="3">
        <v>4</v>
      </c>
      <c r="O23" s="3">
        <v>2</v>
      </c>
      <c r="P23" s="3">
        <v>4</v>
      </c>
      <c r="Q23" s="3">
        <v>3</v>
      </c>
      <c r="R23" s="3">
        <v>5</v>
      </c>
      <c r="S23" s="3">
        <v>5</v>
      </c>
      <c r="T23" s="3">
        <v>3</v>
      </c>
      <c r="U23" s="3">
        <v>5</v>
      </c>
      <c r="V23" s="3">
        <v>5</v>
      </c>
      <c r="W23" s="3">
        <v>2</v>
      </c>
      <c r="X23" s="3">
        <v>3</v>
      </c>
      <c r="Y23" s="3">
        <v>4</v>
      </c>
      <c r="Z23">
        <f t="shared" si="0"/>
        <v>3.6666666666666665</v>
      </c>
      <c r="AA23">
        <f t="shared" si="1"/>
        <v>4</v>
      </c>
      <c r="AB23">
        <f t="shared" si="2"/>
        <v>3</v>
      </c>
    </row>
    <row r="24" spans="1:28" x14ac:dyDescent="0.35">
      <c r="A24" s="2" t="s">
        <v>35</v>
      </c>
      <c r="B24" s="2" t="s">
        <v>43</v>
      </c>
      <c r="C24" s="2" t="s">
        <v>49</v>
      </c>
      <c r="D24" s="2" t="s">
        <v>38</v>
      </c>
      <c r="E24" s="2" t="s">
        <v>57</v>
      </c>
      <c r="F24" s="2">
        <v>4</v>
      </c>
      <c r="G24" s="2">
        <v>2</v>
      </c>
      <c r="H24" s="2">
        <v>5</v>
      </c>
      <c r="I24" s="2">
        <v>3</v>
      </c>
      <c r="J24" s="2">
        <v>4</v>
      </c>
      <c r="K24" s="2">
        <v>3</v>
      </c>
      <c r="L24" s="2">
        <v>5</v>
      </c>
      <c r="M24" s="2">
        <v>3</v>
      </c>
      <c r="N24" s="2">
        <v>5</v>
      </c>
      <c r="O24" s="2">
        <v>4</v>
      </c>
      <c r="P24" s="2">
        <v>4</v>
      </c>
      <c r="Q24" s="2">
        <v>3</v>
      </c>
      <c r="R24" s="2">
        <v>4</v>
      </c>
      <c r="S24" s="2">
        <v>4</v>
      </c>
      <c r="T24" s="2">
        <v>4</v>
      </c>
      <c r="U24" s="2">
        <v>5</v>
      </c>
      <c r="V24" s="2">
        <v>4</v>
      </c>
      <c r="W24" s="2">
        <v>4</v>
      </c>
      <c r="X24" s="2">
        <v>4</v>
      </c>
      <c r="Y24" s="2">
        <v>4</v>
      </c>
      <c r="Z24">
        <f t="shared" si="0"/>
        <v>3.6666666666666665</v>
      </c>
      <c r="AA24">
        <f t="shared" si="1"/>
        <v>3.3333333333333335</v>
      </c>
      <c r="AB24">
        <f t="shared" si="2"/>
        <v>4.25</v>
      </c>
    </row>
    <row r="25" spans="1:28" x14ac:dyDescent="0.35">
      <c r="A25" s="3" t="s">
        <v>25</v>
      </c>
      <c r="B25" s="3" t="s">
        <v>53</v>
      </c>
      <c r="C25" s="3" t="s">
        <v>37</v>
      </c>
      <c r="D25" s="3" t="s">
        <v>58</v>
      </c>
      <c r="E25" s="3" t="s">
        <v>51</v>
      </c>
      <c r="F25" s="3">
        <v>4</v>
      </c>
      <c r="G25" s="3">
        <v>1</v>
      </c>
      <c r="H25" s="3">
        <v>2</v>
      </c>
      <c r="I25" s="3">
        <v>4</v>
      </c>
      <c r="J25" s="3">
        <v>3</v>
      </c>
      <c r="K25" s="3">
        <v>5</v>
      </c>
      <c r="L25" s="3">
        <v>2</v>
      </c>
      <c r="M25" s="3">
        <v>3</v>
      </c>
      <c r="N25" s="3">
        <v>2</v>
      </c>
      <c r="O25" s="3">
        <v>3</v>
      </c>
      <c r="P25" s="3">
        <v>1</v>
      </c>
      <c r="Q25" s="3">
        <v>4</v>
      </c>
      <c r="R25" s="3">
        <v>2</v>
      </c>
      <c r="S25" s="3">
        <v>2</v>
      </c>
      <c r="T25" s="3">
        <v>3</v>
      </c>
      <c r="U25" s="3">
        <v>2</v>
      </c>
      <c r="V25" s="3">
        <v>3</v>
      </c>
      <c r="W25" s="3">
        <v>5</v>
      </c>
      <c r="X25" s="3">
        <v>4</v>
      </c>
      <c r="Y25" s="3">
        <v>5</v>
      </c>
      <c r="Z25">
        <f t="shared" si="0"/>
        <v>2.3333333333333335</v>
      </c>
      <c r="AA25">
        <f t="shared" si="1"/>
        <v>4</v>
      </c>
      <c r="AB25">
        <f t="shared" si="2"/>
        <v>2.5</v>
      </c>
    </row>
    <row r="26" spans="1:28" x14ac:dyDescent="0.35">
      <c r="A26" s="2" t="s">
        <v>42</v>
      </c>
      <c r="B26" s="2" t="s">
        <v>36</v>
      </c>
      <c r="C26" s="2" t="s">
        <v>49</v>
      </c>
      <c r="D26" s="2" t="s">
        <v>50</v>
      </c>
      <c r="E26" s="2" t="s">
        <v>39</v>
      </c>
      <c r="F26" s="2">
        <v>3</v>
      </c>
      <c r="G26" s="2">
        <v>1</v>
      </c>
      <c r="H26" s="2">
        <v>4</v>
      </c>
      <c r="I26" s="2">
        <v>4</v>
      </c>
      <c r="J26" s="2">
        <v>4</v>
      </c>
      <c r="K26" s="2">
        <v>4</v>
      </c>
      <c r="L26" s="2">
        <v>5</v>
      </c>
      <c r="M26" s="2">
        <v>3</v>
      </c>
      <c r="N26" s="2">
        <v>4</v>
      </c>
      <c r="O26" s="2">
        <v>4</v>
      </c>
      <c r="P26" s="2">
        <v>2</v>
      </c>
      <c r="Q26" s="2">
        <v>5</v>
      </c>
      <c r="R26" s="2">
        <v>4</v>
      </c>
      <c r="S26" s="2">
        <v>2</v>
      </c>
      <c r="T26" s="2">
        <v>2</v>
      </c>
      <c r="U26" s="2">
        <v>3</v>
      </c>
      <c r="V26" s="2">
        <v>4</v>
      </c>
      <c r="W26" s="2">
        <v>4</v>
      </c>
      <c r="X26" s="2">
        <v>4</v>
      </c>
      <c r="Y26" s="2">
        <v>5</v>
      </c>
      <c r="Z26">
        <f t="shared" si="0"/>
        <v>2.6666666666666665</v>
      </c>
      <c r="AA26">
        <f t="shared" si="1"/>
        <v>4</v>
      </c>
      <c r="AB26">
        <f t="shared" si="2"/>
        <v>4</v>
      </c>
    </row>
    <row r="27" spans="1:28" x14ac:dyDescent="0.35">
      <c r="A27" s="3" t="s">
        <v>25</v>
      </c>
      <c r="B27" s="3" t="s">
        <v>48</v>
      </c>
      <c r="C27" s="3" t="s">
        <v>37</v>
      </c>
      <c r="D27" s="3" t="s">
        <v>58</v>
      </c>
      <c r="E27" s="3" t="s">
        <v>39</v>
      </c>
      <c r="F27" s="3">
        <v>4</v>
      </c>
      <c r="G27" s="3">
        <v>4</v>
      </c>
      <c r="H27" s="3">
        <v>4</v>
      </c>
      <c r="I27" s="3">
        <v>2</v>
      </c>
      <c r="J27" s="3">
        <v>4</v>
      </c>
      <c r="K27" s="3">
        <v>5</v>
      </c>
      <c r="L27" s="3">
        <v>4</v>
      </c>
      <c r="M27" s="3">
        <v>3</v>
      </c>
      <c r="N27" s="3">
        <v>5</v>
      </c>
      <c r="O27" s="3">
        <v>1</v>
      </c>
      <c r="P27" s="3">
        <v>4</v>
      </c>
      <c r="Q27" s="3">
        <v>4</v>
      </c>
      <c r="R27" s="3">
        <v>2</v>
      </c>
      <c r="S27" s="3">
        <v>5</v>
      </c>
      <c r="T27" s="3">
        <v>1</v>
      </c>
      <c r="U27" s="3">
        <v>4</v>
      </c>
      <c r="V27" s="3">
        <v>4</v>
      </c>
      <c r="W27" s="3">
        <v>1</v>
      </c>
      <c r="X27" s="3">
        <v>5</v>
      </c>
      <c r="Y27" s="3">
        <v>1</v>
      </c>
      <c r="Z27">
        <f t="shared" si="0"/>
        <v>4</v>
      </c>
      <c r="AA27">
        <f t="shared" si="1"/>
        <v>3.6666666666666665</v>
      </c>
      <c r="AB27">
        <f t="shared" si="2"/>
        <v>3.25</v>
      </c>
    </row>
    <row r="28" spans="1:28" x14ac:dyDescent="0.35">
      <c r="A28" s="2" t="s">
        <v>42</v>
      </c>
      <c r="B28" s="2" t="s">
        <v>53</v>
      </c>
      <c r="C28" s="2" t="s">
        <v>44</v>
      </c>
      <c r="D28" s="2" t="s">
        <v>40</v>
      </c>
      <c r="E28" s="2" t="s">
        <v>51</v>
      </c>
      <c r="F28" s="2">
        <v>5</v>
      </c>
      <c r="G28" s="2">
        <v>4</v>
      </c>
      <c r="H28" s="2">
        <v>5</v>
      </c>
      <c r="I28" s="2">
        <v>5</v>
      </c>
      <c r="J28" s="2">
        <v>5</v>
      </c>
      <c r="K28" s="2">
        <v>3</v>
      </c>
      <c r="L28" s="2">
        <v>4</v>
      </c>
      <c r="M28" s="2">
        <v>1</v>
      </c>
      <c r="N28" s="2">
        <v>4</v>
      </c>
      <c r="O28" s="2">
        <v>5</v>
      </c>
      <c r="P28" s="2">
        <v>4</v>
      </c>
      <c r="Q28" s="2">
        <v>2</v>
      </c>
      <c r="R28" s="2">
        <v>1</v>
      </c>
      <c r="S28" s="2">
        <v>4</v>
      </c>
      <c r="T28" s="2">
        <v>4</v>
      </c>
      <c r="U28" s="2">
        <v>5</v>
      </c>
      <c r="V28" s="2">
        <v>5</v>
      </c>
      <c r="W28" s="2">
        <v>4</v>
      </c>
      <c r="X28" s="2">
        <v>5</v>
      </c>
      <c r="Y28" s="2">
        <v>4</v>
      </c>
      <c r="Z28">
        <f t="shared" si="0"/>
        <v>4.666666666666667</v>
      </c>
      <c r="AA28">
        <f t="shared" si="1"/>
        <v>4.333333333333333</v>
      </c>
      <c r="AB28">
        <f t="shared" si="2"/>
        <v>3.5</v>
      </c>
    </row>
    <row r="29" spans="1:28" x14ac:dyDescent="0.35">
      <c r="A29" s="3" t="s">
        <v>42</v>
      </c>
      <c r="B29" s="3" t="s">
        <v>43</v>
      </c>
      <c r="C29" s="3" t="s">
        <v>55</v>
      </c>
      <c r="D29" s="3" t="s">
        <v>56</v>
      </c>
      <c r="E29" s="3" t="s">
        <v>51</v>
      </c>
      <c r="F29" s="3">
        <v>4</v>
      </c>
      <c r="G29" s="3">
        <v>4</v>
      </c>
      <c r="H29" s="3">
        <v>5</v>
      </c>
      <c r="I29" s="3">
        <v>4</v>
      </c>
      <c r="J29" s="3">
        <v>4</v>
      </c>
      <c r="K29" s="3">
        <v>5</v>
      </c>
      <c r="L29" s="3">
        <v>4</v>
      </c>
      <c r="M29" s="3">
        <v>5</v>
      </c>
      <c r="N29" s="3">
        <v>4</v>
      </c>
      <c r="O29" s="3">
        <v>4</v>
      </c>
      <c r="P29" s="3">
        <v>5</v>
      </c>
      <c r="Q29" s="3">
        <v>4</v>
      </c>
      <c r="R29" s="3">
        <v>4</v>
      </c>
      <c r="S29" s="3">
        <v>3</v>
      </c>
      <c r="T29" s="3">
        <v>3</v>
      </c>
      <c r="U29" s="3">
        <v>4</v>
      </c>
      <c r="V29" s="3">
        <v>4</v>
      </c>
      <c r="W29" s="3">
        <v>4</v>
      </c>
      <c r="X29" s="3">
        <v>5</v>
      </c>
      <c r="Y29" s="3">
        <v>5</v>
      </c>
      <c r="Z29">
        <f t="shared" si="0"/>
        <v>4.333333333333333</v>
      </c>
      <c r="AA29">
        <f t="shared" si="1"/>
        <v>4.333333333333333</v>
      </c>
      <c r="AB29">
        <f t="shared" si="2"/>
        <v>4.25</v>
      </c>
    </row>
    <row r="30" spans="1:28" x14ac:dyDescent="0.35">
      <c r="A30" s="2" t="s">
        <v>42</v>
      </c>
      <c r="B30" s="2" t="s">
        <v>43</v>
      </c>
      <c r="C30" s="2" t="s">
        <v>60</v>
      </c>
      <c r="D30" s="2" t="s">
        <v>61</v>
      </c>
      <c r="E30" s="2" t="s">
        <v>57</v>
      </c>
      <c r="F30" s="2">
        <v>3</v>
      </c>
      <c r="G30" s="2">
        <v>4</v>
      </c>
      <c r="H30" s="2">
        <v>5</v>
      </c>
      <c r="I30" s="2">
        <v>4</v>
      </c>
      <c r="J30" s="2">
        <v>4</v>
      </c>
      <c r="K30" s="2">
        <v>1</v>
      </c>
      <c r="L30" s="2">
        <v>4</v>
      </c>
      <c r="M30" s="2">
        <v>2</v>
      </c>
      <c r="N30" s="2">
        <v>5</v>
      </c>
      <c r="O30" s="2">
        <v>5</v>
      </c>
      <c r="P30" s="2">
        <v>3</v>
      </c>
      <c r="Q30" s="2">
        <v>5</v>
      </c>
      <c r="R30" s="2">
        <v>5</v>
      </c>
      <c r="S30" s="2">
        <v>4</v>
      </c>
      <c r="T30" s="2">
        <v>3</v>
      </c>
      <c r="U30" s="2">
        <v>5</v>
      </c>
      <c r="V30" s="2">
        <v>5</v>
      </c>
      <c r="W30" s="2">
        <v>5</v>
      </c>
      <c r="X30" s="2">
        <v>4</v>
      </c>
      <c r="Y30" s="2">
        <v>4</v>
      </c>
      <c r="Z30">
        <f t="shared" si="0"/>
        <v>4</v>
      </c>
      <c r="AA30">
        <f t="shared" si="1"/>
        <v>3</v>
      </c>
      <c r="AB30">
        <f t="shared" si="2"/>
        <v>4</v>
      </c>
    </row>
    <row r="31" spans="1:28" x14ac:dyDescent="0.35">
      <c r="A31" s="3" t="s">
        <v>35</v>
      </c>
      <c r="B31" s="3" t="s">
        <v>48</v>
      </c>
      <c r="C31" s="3" t="s">
        <v>44</v>
      </c>
      <c r="D31" s="3" t="s">
        <v>52</v>
      </c>
      <c r="E31" s="3" t="s">
        <v>41</v>
      </c>
      <c r="F31" s="3">
        <v>5</v>
      </c>
      <c r="G31" s="3">
        <v>5</v>
      </c>
      <c r="H31" s="3">
        <v>5</v>
      </c>
      <c r="I31" s="3">
        <v>4</v>
      </c>
      <c r="J31" s="3">
        <v>4</v>
      </c>
      <c r="K31" s="3">
        <v>4</v>
      </c>
      <c r="L31" s="3">
        <v>4</v>
      </c>
      <c r="M31" s="3">
        <v>5</v>
      </c>
      <c r="N31" s="3">
        <v>2</v>
      </c>
      <c r="O31" s="3">
        <v>5</v>
      </c>
      <c r="P31" s="3">
        <v>4</v>
      </c>
      <c r="Q31" s="3">
        <v>3</v>
      </c>
      <c r="R31" s="3">
        <v>1</v>
      </c>
      <c r="S31" s="3">
        <v>4</v>
      </c>
      <c r="T31" s="3">
        <v>4</v>
      </c>
      <c r="U31" s="3">
        <v>1</v>
      </c>
      <c r="V31" s="3">
        <v>3</v>
      </c>
      <c r="W31" s="3">
        <v>1</v>
      </c>
      <c r="X31" s="3">
        <v>4</v>
      </c>
      <c r="Y31" s="3">
        <v>3</v>
      </c>
      <c r="Z31">
        <f t="shared" si="0"/>
        <v>5</v>
      </c>
      <c r="AA31">
        <f t="shared" si="1"/>
        <v>4</v>
      </c>
      <c r="AB31">
        <f t="shared" si="2"/>
        <v>4</v>
      </c>
    </row>
    <row r="32" spans="1:28" x14ac:dyDescent="0.35">
      <c r="A32" s="2" t="s">
        <v>42</v>
      </c>
      <c r="B32" s="2" t="s">
        <v>53</v>
      </c>
      <c r="C32" s="2" t="s">
        <v>54</v>
      </c>
      <c r="D32" s="2" t="s">
        <v>52</v>
      </c>
      <c r="E32" s="2" t="s">
        <v>29</v>
      </c>
      <c r="F32" s="2">
        <v>4</v>
      </c>
      <c r="G32" s="2">
        <v>2</v>
      </c>
      <c r="H32" s="2">
        <v>5</v>
      </c>
      <c r="I32" s="2">
        <v>5</v>
      </c>
      <c r="J32" s="2">
        <v>5</v>
      </c>
      <c r="K32" s="2">
        <v>4</v>
      </c>
      <c r="L32" s="2">
        <v>4</v>
      </c>
      <c r="M32" s="2">
        <v>4</v>
      </c>
      <c r="N32" s="2">
        <v>5</v>
      </c>
      <c r="O32" s="2">
        <v>5</v>
      </c>
      <c r="P32" s="2">
        <v>3</v>
      </c>
      <c r="Q32" s="2">
        <v>1</v>
      </c>
      <c r="R32" s="2">
        <v>4</v>
      </c>
      <c r="S32" s="2">
        <v>4</v>
      </c>
      <c r="T32" s="2">
        <v>1</v>
      </c>
      <c r="U32" s="2">
        <v>5</v>
      </c>
      <c r="V32" s="2">
        <v>2</v>
      </c>
      <c r="W32" s="2">
        <v>4</v>
      </c>
      <c r="X32" s="2">
        <v>5</v>
      </c>
      <c r="Y32" s="2">
        <v>5</v>
      </c>
      <c r="Z32">
        <f t="shared" si="0"/>
        <v>3.6666666666666665</v>
      </c>
      <c r="AA32">
        <f t="shared" si="1"/>
        <v>4.666666666666667</v>
      </c>
      <c r="AB32">
        <f t="shared" si="2"/>
        <v>4.5</v>
      </c>
    </row>
    <row r="33" spans="1:28" x14ac:dyDescent="0.35">
      <c r="A33" s="3" t="s">
        <v>35</v>
      </c>
      <c r="B33" s="3" t="s">
        <v>53</v>
      </c>
      <c r="C33" s="3" t="s">
        <v>62</v>
      </c>
      <c r="D33" s="3" t="s">
        <v>28</v>
      </c>
      <c r="E33" s="3" t="s">
        <v>51</v>
      </c>
      <c r="F33" s="3">
        <v>1</v>
      </c>
      <c r="G33" s="3">
        <v>2</v>
      </c>
      <c r="H33" s="3">
        <v>5</v>
      </c>
      <c r="I33" s="3">
        <v>5</v>
      </c>
      <c r="J33" s="3">
        <v>4</v>
      </c>
      <c r="K33" s="3">
        <v>5</v>
      </c>
      <c r="L33" s="3">
        <v>4</v>
      </c>
      <c r="M33" s="3">
        <v>4</v>
      </c>
      <c r="N33" s="3">
        <v>5</v>
      </c>
      <c r="O33" s="3">
        <v>4</v>
      </c>
      <c r="P33" s="3">
        <v>4</v>
      </c>
      <c r="Q33" s="3">
        <v>3</v>
      </c>
      <c r="R33" s="3">
        <v>3</v>
      </c>
      <c r="S33" s="3">
        <v>4</v>
      </c>
      <c r="T33" s="3">
        <v>2</v>
      </c>
      <c r="U33" s="3">
        <v>3</v>
      </c>
      <c r="V33" s="3">
        <v>3</v>
      </c>
      <c r="W33" s="3">
        <v>2</v>
      </c>
      <c r="X33" s="3">
        <v>3</v>
      </c>
      <c r="Y33" s="3">
        <v>4</v>
      </c>
      <c r="Z33">
        <f t="shared" si="0"/>
        <v>2.6666666666666665</v>
      </c>
      <c r="AA33">
        <f t="shared" si="1"/>
        <v>4.666666666666667</v>
      </c>
      <c r="AB33">
        <f t="shared" si="2"/>
        <v>4.25</v>
      </c>
    </row>
    <row r="34" spans="1:28" x14ac:dyDescent="0.35">
      <c r="A34" s="2" t="s">
        <v>35</v>
      </c>
      <c r="B34" s="2" t="s">
        <v>36</v>
      </c>
      <c r="C34" s="2" t="s">
        <v>27</v>
      </c>
      <c r="D34" s="2" t="s">
        <v>38</v>
      </c>
      <c r="E34" s="2" t="s">
        <v>41</v>
      </c>
      <c r="F34" s="2">
        <v>5</v>
      </c>
      <c r="G34" s="2">
        <v>3</v>
      </c>
      <c r="H34" s="2">
        <v>5</v>
      </c>
      <c r="I34" s="2">
        <v>3</v>
      </c>
      <c r="J34" s="2">
        <v>3</v>
      </c>
      <c r="K34" s="2">
        <v>5</v>
      </c>
      <c r="L34" s="2">
        <v>5</v>
      </c>
      <c r="M34" s="2">
        <v>1</v>
      </c>
      <c r="N34" s="2">
        <v>4</v>
      </c>
      <c r="O34" s="2">
        <v>5</v>
      </c>
      <c r="P34" s="2">
        <v>3</v>
      </c>
      <c r="Q34" s="2">
        <v>4</v>
      </c>
      <c r="R34" s="2">
        <v>2</v>
      </c>
      <c r="S34" s="2">
        <v>2</v>
      </c>
      <c r="T34" s="2">
        <v>4</v>
      </c>
      <c r="U34" s="2">
        <v>5</v>
      </c>
      <c r="V34" s="2">
        <v>4</v>
      </c>
      <c r="W34" s="2">
        <v>4</v>
      </c>
      <c r="X34" s="2">
        <v>4</v>
      </c>
      <c r="Y34" s="2">
        <v>5</v>
      </c>
      <c r="Z34">
        <f t="shared" ref="Z34:Z65" si="3">AVERAGE(F34:H34)</f>
        <v>4.333333333333333</v>
      </c>
      <c r="AA34">
        <f t="shared" si="1"/>
        <v>3.6666666666666665</v>
      </c>
      <c r="AB34">
        <f t="shared" si="2"/>
        <v>3.75</v>
      </c>
    </row>
    <row r="35" spans="1:28" x14ac:dyDescent="0.35">
      <c r="A35" s="3" t="s">
        <v>35</v>
      </c>
      <c r="B35" s="3" t="s">
        <v>53</v>
      </c>
      <c r="C35" s="3" t="s">
        <v>54</v>
      </c>
      <c r="D35" s="3" t="s">
        <v>61</v>
      </c>
      <c r="E35" s="3" t="s">
        <v>39</v>
      </c>
      <c r="F35" s="3">
        <v>4</v>
      </c>
      <c r="G35" s="3">
        <v>5</v>
      </c>
      <c r="H35" s="3">
        <v>5</v>
      </c>
      <c r="I35" s="3">
        <v>5</v>
      </c>
      <c r="J35" s="3">
        <v>2</v>
      </c>
      <c r="K35" s="3">
        <v>4</v>
      </c>
      <c r="L35" s="3">
        <v>4</v>
      </c>
      <c r="M35" s="3">
        <v>3</v>
      </c>
      <c r="N35" s="3">
        <v>4</v>
      </c>
      <c r="O35" s="3">
        <v>3</v>
      </c>
      <c r="P35" s="3">
        <v>4</v>
      </c>
      <c r="Q35" s="3">
        <v>5</v>
      </c>
      <c r="R35" s="3">
        <v>5</v>
      </c>
      <c r="S35" s="3">
        <v>4</v>
      </c>
      <c r="T35" s="3">
        <v>2</v>
      </c>
      <c r="U35" s="3">
        <v>4</v>
      </c>
      <c r="V35" s="3">
        <v>5</v>
      </c>
      <c r="W35" s="3">
        <v>4</v>
      </c>
      <c r="X35" s="3">
        <v>2</v>
      </c>
      <c r="Y35" s="3">
        <v>5</v>
      </c>
      <c r="Z35">
        <f t="shared" si="3"/>
        <v>4.666666666666667</v>
      </c>
      <c r="AA35">
        <f t="shared" si="1"/>
        <v>3.6666666666666665</v>
      </c>
      <c r="AB35">
        <f t="shared" si="2"/>
        <v>3.5</v>
      </c>
    </row>
    <row r="36" spans="1:28" x14ac:dyDescent="0.35">
      <c r="A36" s="2" t="s">
        <v>25</v>
      </c>
      <c r="B36" s="2" t="s">
        <v>53</v>
      </c>
      <c r="C36" s="2" t="s">
        <v>55</v>
      </c>
      <c r="D36" s="2" t="s">
        <v>40</v>
      </c>
      <c r="E36" s="2" t="s">
        <v>39</v>
      </c>
      <c r="F36" s="2">
        <v>3</v>
      </c>
      <c r="G36" s="2">
        <v>5</v>
      </c>
      <c r="H36" s="2">
        <v>4</v>
      </c>
      <c r="I36" s="2">
        <v>5</v>
      </c>
      <c r="J36" s="2">
        <v>4</v>
      </c>
      <c r="K36" s="2">
        <v>5</v>
      </c>
      <c r="L36" s="2">
        <v>5</v>
      </c>
      <c r="M36" s="2">
        <v>1</v>
      </c>
      <c r="N36" s="2">
        <v>4</v>
      </c>
      <c r="O36" s="2">
        <v>5</v>
      </c>
      <c r="P36" s="2">
        <v>5</v>
      </c>
      <c r="Q36" s="2">
        <v>5</v>
      </c>
      <c r="R36" s="2">
        <v>4</v>
      </c>
      <c r="S36" s="2">
        <v>4</v>
      </c>
      <c r="T36" s="2">
        <v>5</v>
      </c>
      <c r="U36" s="2">
        <v>4</v>
      </c>
      <c r="V36" s="2">
        <v>1</v>
      </c>
      <c r="W36" s="2">
        <v>5</v>
      </c>
      <c r="X36" s="2">
        <v>5</v>
      </c>
      <c r="Y36" s="2">
        <v>4</v>
      </c>
      <c r="Z36">
        <f t="shared" si="3"/>
        <v>4</v>
      </c>
      <c r="AA36">
        <f t="shared" si="1"/>
        <v>4.666666666666667</v>
      </c>
      <c r="AB36">
        <f t="shared" si="2"/>
        <v>3.75</v>
      </c>
    </row>
    <row r="37" spans="1:28" x14ac:dyDescent="0.35">
      <c r="A37" s="3" t="s">
        <v>25</v>
      </c>
      <c r="B37" s="3" t="s">
        <v>36</v>
      </c>
      <c r="C37" s="3" t="s">
        <v>44</v>
      </c>
      <c r="D37" s="3" t="s">
        <v>50</v>
      </c>
      <c r="E37" s="3" t="s">
        <v>39</v>
      </c>
      <c r="F37" s="3">
        <v>3</v>
      </c>
      <c r="G37" s="3">
        <v>3</v>
      </c>
      <c r="H37" s="3">
        <v>4</v>
      </c>
      <c r="I37" s="3">
        <v>4</v>
      </c>
      <c r="J37" s="3">
        <v>4</v>
      </c>
      <c r="K37" s="3">
        <v>5</v>
      </c>
      <c r="L37" s="3">
        <v>2</v>
      </c>
      <c r="M37" s="3">
        <v>4</v>
      </c>
      <c r="N37" s="3">
        <v>5</v>
      </c>
      <c r="O37" s="3">
        <v>3</v>
      </c>
      <c r="P37" s="3">
        <v>3</v>
      </c>
      <c r="Q37" s="3">
        <v>2</v>
      </c>
      <c r="R37" s="3">
        <v>3</v>
      </c>
      <c r="S37" s="3">
        <v>2</v>
      </c>
      <c r="T37" s="3">
        <v>4</v>
      </c>
      <c r="U37" s="3">
        <v>1</v>
      </c>
      <c r="V37" s="3">
        <v>5</v>
      </c>
      <c r="W37" s="3">
        <v>4</v>
      </c>
      <c r="X37" s="3">
        <v>3</v>
      </c>
      <c r="Y37" s="3">
        <v>4</v>
      </c>
      <c r="Z37">
        <f t="shared" si="3"/>
        <v>3.3333333333333335</v>
      </c>
      <c r="AA37">
        <f t="shared" si="1"/>
        <v>4.333333333333333</v>
      </c>
      <c r="AB37">
        <f t="shared" si="2"/>
        <v>3.5</v>
      </c>
    </row>
    <row r="38" spans="1:28" x14ac:dyDescent="0.35">
      <c r="A38" s="2" t="s">
        <v>42</v>
      </c>
      <c r="B38" s="2" t="s">
        <v>53</v>
      </c>
      <c r="C38" s="2" t="s">
        <v>37</v>
      </c>
      <c r="D38" s="2" t="s">
        <v>52</v>
      </c>
      <c r="E38" s="2" t="s">
        <v>39</v>
      </c>
      <c r="F38" s="2">
        <v>1</v>
      </c>
      <c r="G38" s="2">
        <v>5</v>
      </c>
      <c r="H38" s="2">
        <v>3</v>
      </c>
      <c r="I38" s="2">
        <v>4</v>
      </c>
      <c r="J38" s="2">
        <v>4</v>
      </c>
      <c r="K38" s="2">
        <v>5</v>
      </c>
      <c r="L38" s="2">
        <v>3</v>
      </c>
      <c r="M38" s="2">
        <v>4</v>
      </c>
      <c r="N38" s="2">
        <v>5</v>
      </c>
      <c r="O38" s="2">
        <v>3</v>
      </c>
      <c r="P38" s="2">
        <v>3</v>
      </c>
      <c r="Q38" s="2">
        <v>5</v>
      </c>
      <c r="R38" s="2">
        <v>3</v>
      </c>
      <c r="S38" s="2">
        <v>4</v>
      </c>
      <c r="T38" s="2">
        <v>4</v>
      </c>
      <c r="U38" s="2">
        <v>5</v>
      </c>
      <c r="V38" s="2">
        <v>1</v>
      </c>
      <c r="W38" s="2">
        <v>5</v>
      </c>
      <c r="X38" s="2">
        <v>4</v>
      </c>
      <c r="Y38" s="2">
        <v>1</v>
      </c>
      <c r="Z38">
        <f t="shared" si="3"/>
        <v>3</v>
      </c>
      <c r="AA38">
        <f t="shared" si="1"/>
        <v>4.333333333333333</v>
      </c>
      <c r="AB38">
        <f t="shared" si="2"/>
        <v>3.75</v>
      </c>
    </row>
    <row r="39" spans="1:28" x14ac:dyDescent="0.35">
      <c r="A39" s="3" t="s">
        <v>42</v>
      </c>
      <c r="B39" s="3" t="s">
        <v>48</v>
      </c>
      <c r="C39" s="3" t="s">
        <v>37</v>
      </c>
      <c r="D39" s="3" t="s">
        <v>52</v>
      </c>
      <c r="E39" s="3" t="s">
        <v>39</v>
      </c>
      <c r="F39" s="3">
        <v>3</v>
      </c>
      <c r="G39" s="3">
        <v>5</v>
      </c>
      <c r="H39" s="3">
        <v>4</v>
      </c>
      <c r="I39" s="3">
        <v>5</v>
      </c>
      <c r="J39" s="3">
        <v>5</v>
      </c>
      <c r="K39" s="3">
        <v>4</v>
      </c>
      <c r="L39" s="3">
        <v>2</v>
      </c>
      <c r="M39" s="3">
        <v>4</v>
      </c>
      <c r="N39" s="3">
        <v>2</v>
      </c>
      <c r="O39" s="3">
        <v>4</v>
      </c>
      <c r="P39" s="3">
        <v>4</v>
      </c>
      <c r="Q39" s="3">
        <v>4</v>
      </c>
      <c r="R39" s="3">
        <v>3</v>
      </c>
      <c r="S39" s="3">
        <v>4</v>
      </c>
      <c r="T39" s="3">
        <v>4</v>
      </c>
      <c r="U39" s="3">
        <v>4</v>
      </c>
      <c r="V39" s="3">
        <v>1</v>
      </c>
      <c r="W39" s="3">
        <v>4</v>
      </c>
      <c r="X39" s="3">
        <v>5</v>
      </c>
      <c r="Y39" s="3">
        <v>5</v>
      </c>
      <c r="Z39">
        <f t="shared" si="3"/>
        <v>4</v>
      </c>
      <c r="AA39">
        <f t="shared" si="1"/>
        <v>4.666666666666667</v>
      </c>
      <c r="AB39">
        <f t="shared" si="2"/>
        <v>3</v>
      </c>
    </row>
    <row r="40" spans="1:28" x14ac:dyDescent="0.35">
      <c r="A40" s="2" t="s">
        <v>25</v>
      </c>
      <c r="B40" s="2" t="s">
        <v>48</v>
      </c>
      <c r="C40" s="2" t="s">
        <v>55</v>
      </c>
      <c r="D40" s="2" t="s">
        <v>56</v>
      </c>
      <c r="E40" s="2" t="s">
        <v>29</v>
      </c>
      <c r="F40" s="2">
        <v>5</v>
      </c>
      <c r="G40" s="2">
        <v>3</v>
      </c>
      <c r="H40" s="2">
        <v>3</v>
      </c>
      <c r="I40" s="2">
        <v>1</v>
      </c>
      <c r="J40" s="2">
        <v>4</v>
      </c>
      <c r="K40" s="2">
        <v>3</v>
      </c>
      <c r="L40" s="2">
        <v>5</v>
      </c>
      <c r="M40" s="2">
        <v>3</v>
      </c>
      <c r="N40" s="2">
        <v>1</v>
      </c>
      <c r="O40" s="2">
        <v>5</v>
      </c>
      <c r="P40" s="2">
        <v>3</v>
      </c>
      <c r="Q40" s="2">
        <v>2</v>
      </c>
      <c r="R40" s="2">
        <v>4</v>
      </c>
      <c r="S40" s="2">
        <v>2</v>
      </c>
      <c r="T40" s="2">
        <v>5</v>
      </c>
      <c r="U40" s="2">
        <v>4</v>
      </c>
      <c r="V40" s="2">
        <v>3</v>
      </c>
      <c r="W40" s="2">
        <v>4</v>
      </c>
      <c r="X40" s="2">
        <v>4</v>
      </c>
      <c r="Y40" s="2">
        <v>5</v>
      </c>
      <c r="Z40">
        <f t="shared" si="3"/>
        <v>3.6666666666666665</v>
      </c>
      <c r="AA40">
        <f t="shared" si="1"/>
        <v>2.6666666666666665</v>
      </c>
      <c r="AB40">
        <f t="shared" si="2"/>
        <v>3.5</v>
      </c>
    </row>
    <row r="41" spans="1:28" x14ac:dyDescent="0.35">
      <c r="A41" s="3" t="s">
        <v>35</v>
      </c>
      <c r="B41" s="3" t="s">
        <v>36</v>
      </c>
      <c r="C41" s="3" t="s">
        <v>49</v>
      </c>
      <c r="D41" s="3" t="s">
        <v>45</v>
      </c>
      <c r="E41" s="3" t="s">
        <v>51</v>
      </c>
      <c r="F41" s="3">
        <v>4</v>
      </c>
      <c r="G41" s="3">
        <v>2</v>
      </c>
      <c r="H41" s="3">
        <v>4</v>
      </c>
      <c r="I41" s="3">
        <v>3</v>
      </c>
      <c r="J41" s="3">
        <v>5</v>
      </c>
      <c r="K41" s="3">
        <v>5</v>
      </c>
      <c r="L41" s="3">
        <v>3</v>
      </c>
      <c r="M41" s="3">
        <v>4</v>
      </c>
      <c r="N41" s="3">
        <v>5</v>
      </c>
      <c r="O41" s="3">
        <v>3</v>
      </c>
      <c r="P41" s="3">
        <v>5</v>
      </c>
      <c r="Q41" s="3">
        <v>2</v>
      </c>
      <c r="R41" s="3">
        <v>4</v>
      </c>
      <c r="S41" s="3">
        <v>4</v>
      </c>
      <c r="T41" s="3">
        <v>5</v>
      </c>
      <c r="U41" s="3">
        <v>5</v>
      </c>
      <c r="V41" s="3">
        <v>4</v>
      </c>
      <c r="W41" s="3">
        <v>4</v>
      </c>
      <c r="X41" s="3">
        <v>4</v>
      </c>
      <c r="Y41" s="3">
        <v>4</v>
      </c>
      <c r="Z41">
        <f t="shared" si="3"/>
        <v>3.3333333333333335</v>
      </c>
      <c r="AA41">
        <f t="shared" si="1"/>
        <v>4.333333333333333</v>
      </c>
      <c r="AB41">
        <f t="shared" si="2"/>
        <v>3.75</v>
      </c>
    </row>
    <row r="42" spans="1:28" x14ac:dyDescent="0.35">
      <c r="A42" s="2" t="s">
        <v>35</v>
      </c>
      <c r="B42" s="2" t="s">
        <v>43</v>
      </c>
      <c r="C42" s="2" t="s">
        <v>46</v>
      </c>
      <c r="D42" s="2" t="s">
        <v>45</v>
      </c>
      <c r="E42" s="2" t="s">
        <v>57</v>
      </c>
      <c r="F42" s="2">
        <v>5</v>
      </c>
      <c r="G42" s="2">
        <v>4</v>
      </c>
      <c r="H42" s="2">
        <v>1</v>
      </c>
      <c r="I42" s="2">
        <v>3</v>
      </c>
      <c r="J42" s="2">
        <v>4</v>
      </c>
      <c r="K42" s="2">
        <v>4</v>
      </c>
      <c r="L42" s="2">
        <v>4</v>
      </c>
      <c r="M42" s="2">
        <v>2</v>
      </c>
      <c r="N42" s="2">
        <v>5</v>
      </c>
      <c r="O42" s="2">
        <v>3</v>
      </c>
      <c r="P42" s="2">
        <v>5</v>
      </c>
      <c r="Q42" s="2">
        <v>4</v>
      </c>
      <c r="R42" s="2">
        <v>5</v>
      </c>
      <c r="S42" s="2">
        <v>2</v>
      </c>
      <c r="T42" s="2">
        <v>2</v>
      </c>
      <c r="U42" s="2">
        <v>5</v>
      </c>
      <c r="V42" s="2">
        <v>2</v>
      </c>
      <c r="W42" s="2">
        <v>2</v>
      </c>
      <c r="X42" s="2">
        <v>4</v>
      </c>
      <c r="Y42" s="2">
        <v>5</v>
      </c>
      <c r="Z42">
        <f t="shared" si="3"/>
        <v>3.3333333333333335</v>
      </c>
      <c r="AA42">
        <f t="shared" si="1"/>
        <v>3.6666666666666665</v>
      </c>
      <c r="AB42">
        <f t="shared" si="2"/>
        <v>3.5</v>
      </c>
    </row>
    <row r="43" spans="1:28" x14ac:dyDescent="0.35">
      <c r="A43" s="3" t="s">
        <v>35</v>
      </c>
      <c r="B43" s="3" t="s">
        <v>36</v>
      </c>
      <c r="C43" s="3" t="s">
        <v>62</v>
      </c>
      <c r="D43" s="3" t="s">
        <v>58</v>
      </c>
      <c r="E43" s="3" t="s">
        <v>57</v>
      </c>
      <c r="F43" s="3">
        <v>4</v>
      </c>
      <c r="G43" s="3">
        <v>3</v>
      </c>
      <c r="H43" s="3">
        <v>4</v>
      </c>
      <c r="I43" s="3">
        <v>5</v>
      </c>
      <c r="J43" s="3">
        <v>4</v>
      </c>
      <c r="K43" s="3">
        <v>5</v>
      </c>
      <c r="L43" s="3">
        <v>3</v>
      </c>
      <c r="M43" s="3">
        <v>4</v>
      </c>
      <c r="N43" s="3">
        <v>4</v>
      </c>
      <c r="O43" s="3">
        <v>5</v>
      </c>
      <c r="P43" s="3">
        <v>3</v>
      </c>
      <c r="Q43" s="3">
        <v>4</v>
      </c>
      <c r="R43" s="3">
        <v>2</v>
      </c>
      <c r="S43" s="3">
        <v>1</v>
      </c>
      <c r="T43" s="3">
        <v>5</v>
      </c>
      <c r="U43" s="3">
        <v>4</v>
      </c>
      <c r="V43" s="3">
        <v>3</v>
      </c>
      <c r="W43" s="3">
        <v>5</v>
      </c>
      <c r="X43" s="3">
        <v>2</v>
      </c>
      <c r="Y43" s="3">
        <v>3</v>
      </c>
      <c r="Z43">
        <f t="shared" si="3"/>
        <v>3.6666666666666665</v>
      </c>
      <c r="AA43">
        <f t="shared" si="1"/>
        <v>4.666666666666667</v>
      </c>
      <c r="AB43">
        <f t="shared" si="2"/>
        <v>4</v>
      </c>
    </row>
    <row r="44" spans="1:28" x14ac:dyDescent="0.35">
      <c r="A44" s="2" t="s">
        <v>42</v>
      </c>
      <c r="B44" s="2" t="s">
        <v>48</v>
      </c>
      <c r="C44" s="2" t="s">
        <v>59</v>
      </c>
      <c r="D44" s="2" t="s">
        <v>61</v>
      </c>
      <c r="E44" s="2" t="s">
        <v>39</v>
      </c>
      <c r="F44" s="2">
        <v>5</v>
      </c>
      <c r="G44" s="2">
        <v>4</v>
      </c>
      <c r="H44" s="2">
        <v>5</v>
      </c>
      <c r="I44" s="2">
        <v>2</v>
      </c>
      <c r="J44" s="2">
        <v>4</v>
      </c>
      <c r="K44" s="2">
        <v>5</v>
      </c>
      <c r="L44" s="2">
        <v>4</v>
      </c>
      <c r="M44" s="2">
        <v>4</v>
      </c>
      <c r="N44" s="2">
        <v>4</v>
      </c>
      <c r="O44" s="2">
        <v>2</v>
      </c>
      <c r="P44" s="2">
        <v>3</v>
      </c>
      <c r="Q44" s="2">
        <v>3</v>
      </c>
      <c r="R44" s="2">
        <v>4</v>
      </c>
      <c r="S44" s="2">
        <v>3</v>
      </c>
      <c r="T44" s="2">
        <v>5</v>
      </c>
      <c r="U44" s="2">
        <v>4</v>
      </c>
      <c r="V44" s="2">
        <v>4</v>
      </c>
      <c r="W44" s="2">
        <v>2</v>
      </c>
      <c r="X44" s="2">
        <v>4</v>
      </c>
      <c r="Y44" s="2">
        <v>4</v>
      </c>
      <c r="Z44">
        <f t="shared" si="3"/>
        <v>4.666666666666667</v>
      </c>
      <c r="AA44">
        <f t="shared" si="1"/>
        <v>3.6666666666666665</v>
      </c>
      <c r="AB44">
        <f t="shared" si="2"/>
        <v>3.5</v>
      </c>
    </row>
    <row r="45" spans="1:28" x14ac:dyDescent="0.35">
      <c r="A45" s="3" t="s">
        <v>35</v>
      </c>
      <c r="B45" s="3" t="s">
        <v>48</v>
      </c>
      <c r="C45" s="3" t="s">
        <v>49</v>
      </c>
      <c r="D45" s="3" t="s">
        <v>58</v>
      </c>
      <c r="E45" s="3" t="s">
        <v>41</v>
      </c>
      <c r="F45" s="3">
        <v>2</v>
      </c>
      <c r="G45" s="3">
        <v>4</v>
      </c>
      <c r="H45" s="3">
        <v>2</v>
      </c>
      <c r="I45" s="3">
        <v>1</v>
      </c>
      <c r="J45" s="3">
        <v>2</v>
      </c>
      <c r="K45" s="3">
        <v>5</v>
      </c>
      <c r="L45" s="3">
        <v>4</v>
      </c>
      <c r="M45" s="3">
        <v>4</v>
      </c>
      <c r="N45" s="3">
        <v>4</v>
      </c>
      <c r="O45" s="3">
        <v>2</v>
      </c>
      <c r="P45" s="3">
        <v>4</v>
      </c>
      <c r="Q45" s="3">
        <v>4</v>
      </c>
      <c r="R45" s="3">
        <v>1</v>
      </c>
      <c r="S45" s="3">
        <v>2</v>
      </c>
      <c r="T45" s="3">
        <v>3</v>
      </c>
      <c r="U45" s="3">
        <v>4</v>
      </c>
      <c r="V45" s="3">
        <v>5</v>
      </c>
      <c r="W45" s="3">
        <v>5</v>
      </c>
      <c r="X45" s="3">
        <v>2</v>
      </c>
      <c r="Y45" s="3">
        <v>5</v>
      </c>
      <c r="Z45">
        <f t="shared" si="3"/>
        <v>2.6666666666666665</v>
      </c>
      <c r="AA45">
        <f t="shared" si="1"/>
        <v>2.6666666666666665</v>
      </c>
      <c r="AB45">
        <f t="shared" si="2"/>
        <v>3.5</v>
      </c>
    </row>
    <row r="46" spans="1:28" x14ac:dyDescent="0.35">
      <c r="A46" s="2" t="s">
        <v>42</v>
      </c>
      <c r="B46" s="2" t="s">
        <v>26</v>
      </c>
      <c r="C46" s="2" t="s">
        <v>60</v>
      </c>
      <c r="D46" s="2" t="s">
        <v>50</v>
      </c>
      <c r="E46" s="2" t="s">
        <v>29</v>
      </c>
      <c r="F46" s="2">
        <v>3</v>
      </c>
      <c r="G46" s="2">
        <v>3</v>
      </c>
      <c r="H46" s="2">
        <v>5</v>
      </c>
      <c r="I46" s="2">
        <v>4</v>
      </c>
      <c r="J46" s="2">
        <v>3</v>
      </c>
      <c r="K46" s="2">
        <v>2</v>
      </c>
      <c r="L46" s="2">
        <v>4</v>
      </c>
      <c r="M46" s="2">
        <v>4</v>
      </c>
      <c r="N46" s="2">
        <v>5</v>
      </c>
      <c r="O46" s="2">
        <v>2</v>
      </c>
      <c r="P46" s="2">
        <v>5</v>
      </c>
      <c r="Q46" s="2">
        <v>3</v>
      </c>
      <c r="R46" s="2">
        <v>4</v>
      </c>
      <c r="S46" s="2">
        <v>5</v>
      </c>
      <c r="T46" s="2">
        <v>4</v>
      </c>
      <c r="U46" s="2">
        <v>4</v>
      </c>
      <c r="V46" s="2">
        <v>4</v>
      </c>
      <c r="W46" s="2">
        <v>2</v>
      </c>
      <c r="X46" s="2">
        <v>2</v>
      </c>
      <c r="Y46" s="2">
        <v>5</v>
      </c>
      <c r="Z46">
        <f t="shared" si="3"/>
        <v>3.6666666666666665</v>
      </c>
      <c r="AA46">
        <f t="shared" si="1"/>
        <v>3</v>
      </c>
      <c r="AB46">
        <f t="shared" si="2"/>
        <v>3.75</v>
      </c>
    </row>
    <row r="47" spans="1:28" x14ac:dyDescent="0.35">
      <c r="A47" s="3" t="s">
        <v>42</v>
      </c>
      <c r="B47" s="3" t="s">
        <v>26</v>
      </c>
      <c r="C47" s="3" t="s">
        <v>27</v>
      </c>
      <c r="D47" s="3" t="s">
        <v>45</v>
      </c>
      <c r="E47" s="3" t="s">
        <v>41</v>
      </c>
      <c r="F47" s="3">
        <v>1</v>
      </c>
      <c r="G47" s="3">
        <v>3</v>
      </c>
      <c r="H47" s="3">
        <v>4</v>
      </c>
      <c r="I47" s="3">
        <v>4</v>
      </c>
      <c r="J47" s="3">
        <v>4</v>
      </c>
      <c r="K47" s="3">
        <v>3</v>
      </c>
      <c r="L47" s="3">
        <v>3</v>
      </c>
      <c r="M47" s="3">
        <v>5</v>
      </c>
      <c r="N47" s="3">
        <v>5</v>
      </c>
      <c r="O47" s="3">
        <v>4</v>
      </c>
      <c r="P47" s="3">
        <v>5</v>
      </c>
      <c r="Q47" s="3">
        <v>4</v>
      </c>
      <c r="R47" s="3">
        <v>2</v>
      </c>
      <c r="S47" s="3">
        <v>5</v>
      </c>
      <c r="T47" s="3">
        <v>2</v>
      </c>
      <c r="U47" s="3">
        <v>3</v>
      </c>
      <c r="V47" s="3">
        <v>4</v>
      </c>
      <c r="W47" s="3">
        <v>5</v>
      </c>
      <c r="X47" s="3">
        <v>5</v>
      </c>
      <c r="Y47" s="3">
        <v>5</v>
      </c>
      <c r="Z47">
        <f t="shared" si="3"/>
        <v>2.6666666666666665</v>
      </c>
      <c r="AA47">
        <f t="shared" si="1"/>
        <v>3.6666666666666665</v>
      </c>
      <c r="AB47">
        <f t="shared" si="2"/>
        <v>4.25</v>
      </c>
    </row>
    <row r="48" spans="1:28" x14ac:dyDescent="0.35">
      <c r="A48" s="2" t="s">
        <v>35</v>
      </c>
      <c r="B48" s="2" t="s">
        <v>36</v>
      </c>
      <c r="C48" s="2" t="s">
        <v>49</v>
      </c>
      <c r="D48" s="2" t="s">
        <v>56</v>
      </c>
      <c r="E48" s="2" t="s">
        <v>29</v>
      </c>
      <c r="F48" s="2">
        <v>2</v>
      </c>
      <c r="G48" s="2">
        <v>4</v>
      </c>
      <c r="H48" s="2">
        <v>5</v>
      </c>
      <c r="I48" s="2">
        <v>1</v>
      </c>
      <c r="J48" s="2">
        <v>5</v>
      </c>
      <c r="K48" s="2">
        <v>5</v>
      </c>
      <c r="L48" s="2">
        <v>3</v>
      </c>
      <c r="M48" s="2">
        <v>1</v>
      </c>
      <c r="N48" s="2">
        <v>2</v>
      </c>
      <c r="O48" s="2">
        <v>2</v>
      </c>
      <c r="P48" s="2">
        <v>4</v>
      </c>
      <c r="Q48" s="2">
        <v>4</v>
      </c>
      <c r="R48" s="2">
        <v>3</v>
      </c>
      <c r="S48" s="2">
        <v>5</v>
      </c>
      <c r="T48" s="2">
        <v>4</v>
      </c>
      <c r="U48" s="2">
        <v>2</v>
      </c>
      <c r="V48" s="2">
        <v>5</v>
      </c>
      <c r="W48" s="2">
        <v>4</v>
      </c>
      <c r="X48" s="2">
        <v>4</v>
      </c>
      <c r="Y48" s="2">
        <v>5</v>
      </c>
      <c r="Z48">
        <f t="shared" si="3"/>
        <v>3.6666666666666665</v>
      </c>
      <c r="AA48">
        <f t="shared" si="1"/>
        <v>3.6666666666666665</v>
      </c>
      <c r="AB48">
        <f t="shared" si="2"/>
        <v>2</v>
      </c>
    </row>
    <row r="49" spans="1:28" x14ac:dyDescent="0.35">
      <c r="A49" s="3" t="s">
        <v>25</v>
      </c>
      <c r="B49" s="3" t="s">
        <v>53</v>
      </c>
      <c r="C49" s="3" t="s">
        <v>60</v>
      </c>
      <c r="D49" s="3" t="s">
        <v>58</v>
      </c>
      <c r="E49" s="3" t="s">
        <v>39</v>
      </c>
      <c r="F49" s="3">
        <v>4</v>
      </c>
      <c r="G49" s="3">
        <v>5</v>
      </c>
      <c r="H49" s="3">
        <v>5</v>
      </c>
      <c r="I49" s="3">
        <v>2</v>
      </c>
      <c r="J49" s="3">
        <v>1</v>
      </c>
      <c r="K49" s="3">
        <v>3</v>
      </c>
      <c r="L49" s="3">
        <v>4</v>
      </c>
      <c r="M49" s="3">
        <v>2</v>
      </c>
      <c r="N49" s="3">
        <v>2</v>
      </c>
      <c r="O49" s="3">
        <v>3</v>
      </c>
      <c r="P49" s="3">
        <v>2</v>
      </c>
      <c r="Q49" s="3">
        <v>5</v>
      </c>
      <c r="R49" s="3">
        <v>5</v>
      </c>
      <c r="S49" s="3">
        <v>4</v>
      </c>
      <c r="T49" s="3">
        <v>2</v>
      </c>
      <c r="U49" s="3">
        <v>3</v>
      </c>
      <c r="V49" s="3">
        <v>5</v>
      </c>
      <c r="W49" s="3">
        <v>5</v>
      </c>
      <c r="X49" s="3">
        <v>4</v>
      </c>
      <c r="Y49" s="3">
        <v>5</v>
      </c>
      <c r="Z49">
        <f t="shared" si="3"/>
        <v>4.666666666666667</v>
      </c>
      <c r="AA49">
        <f t="shared" si="1"/>
        <v>2</v>
      </c>
      <c r="AB49">
        <f t="shared" si="2"/>
        <v>2.75</v>
      </c>
    </row>
    <row r="50" spans="1:28" x14ac:dyDescent="0.35">
      <c r="A50" s="2" t="s">
        <v>35</v>
      </c>
      <c r="B50" s="2" t="s">
        <v>43</v>
      </c>
      <c r="C50" s="2" t="s">
        <v>62</v>
      </c>
      <c r="D50" s="2" t="s">
        <v>56</v>
      </c>
      <c r="E50" s="2" t="s">
        <v>51</v>
      </c>
      <c r="F50" s="2">
        <v>4</v>
      </c>
      <c r="G50" s="2">
        <v>4</v>
      </c>
      <c r="H50" s="2">
        <v>5</v>
      </c>
      <c r="I50" s="2">
        <v>4</v>
      </c>
      <c r="J50" s="2">
        <v>1</v>
      </c>
      <c r="K50" s="2">
        <v>5</v>
      </c>
      <c r="L50" s="2">
        <v>4</v>
      </c>
      <c r="M50" s="2">
        <v>4</v>
      </c>
      <c r="N50" s="2">
        <v>5</v>
      </c>
      <c r="O50" s="2">
        <v>4</v>
      </c>
      <c r="P50" s="2">
        <v>3</v>
      </c>
      <c r="Q50" s="2">
        <v>3</v>
      </c>
      <c r="R50" s="2">
        <v>3</v>
      </c>
      <c r="S50" s="2">
        <v>4</v>
      </c>
      <c r="T50" s="2">
        <v>4</v>
      </c>
      <c r="U50" s="2">
        <v>4</v>
      </c>
      <c r="V50" s="2">
        <v>4</v>
      </c>
      <c r="W50" s="2">
        <v>5</v>
      </c>
      <c r="X50" s="2">
        <v>5</v>
      </c>
      <c r="Y50" s="2">
        <v>5</v>
      </c>
      <c r="Z50">
        <f t="shared" si="3"/>
        <v>4.333333333333333</v>
      </c>
      <c r="AA50">
        <f t="shared" si="1"/>
        <v>3.3333333333333335</v>
      </c>
      <c r="AB50">
        <f t="shared" si="2"/>
        <v>4.25</v>
      </c>
    </row>
    <row r="51" spans="1:28" x14ac:dyDescent="0.35">
      <c r="A51" s="3" t="s">
        <v>42</v>
      </c>
      <c r="B51" s="3" t="s">
        <v>48</v>
      </c>
      <c r="C51" s="3" t="s">
        <v>46</v>
      </c>
      <c r="D51" s="3" t="s">
        <v>47</v>
      </c>
      <c r="E51" s="3" t="s">
        <v>39</v>
      </c>
      <c r="F51" s="3">
        <v>2</v>
      </c>
      <c r="G51" s="3">
        <v>2</v>
      </c>
      <c r="H51" s="3">
        <v>5</v>
      </c>
      <c r="I51" s="3">
        <v>5</v>
      </c>
      <c r="J51" s="3">
        <v>4</v>
      </c>
      <c r="K51" s="3">
        <v>5</v>
      </c>
      <c r="L51" s="3">
        <v>1</v>
      </c>
      <c r="M51" s="3">
        <v>5</v>
      </c>
      <c r="N51" s="3">
        <v>4</v>
      </c>
      <c r="O51" s="3">
        <v>5</v>
      </c>
      <c r="P51" s="3">
        <v>5</v>
      </c>
      <c r="Q51" s="3">
        <v>4</v>
      </c>
      <c r="R51" s="3">
        <v>3</v>
      </c>
      <c r="S51" s="3">
        <v>1</v>
      </c>
      <c r="T51" s="3">
        <v>3</v>
      </c>
      <c r="U51" s="3">
        <v>5</v>
      </c>
      <c r="V51" s="3">
        <v>3</v>
      </c>
      <c r="W51" s="3">
        <v>5</v>
      </c>
      <c r="X51" s="3">
        <v>5</v>
      </c>
      <c r="Y51" s="3">
        <v>2</v>
      </c>
      <c r="Z51">
        <f t="shared" si="3"/>
        <v>3</v>
      </c>
      <c r="AA51">
        <f t="shared" si="1"/>
        <v>4.666666666666667</v>
      </c>
      <c r="AB51">
        <f t="shared" si="2"/>
        <v>3.75</v>
      </c>
    </row>
    <row r="52" spans="1:28" x14ac:dyDescent="0.35">
      <c r="A52" s="2" t="s">
        <v>42</v>
      </c>
      <c r="B52" s="2" t="s">
        <v>43</v>
      </c>
      <c r="C52" s="2" t="s">
        <v>46</v>
      </c>
      <c r="D52" s="2" t="s">
        <v>45</v>
      </c>
      <c r="E52" s="2" t="s">
        <v>51</v>
      </c>
      <c r="F52" s="2">
        <v>1</v>
      </c>
      <c r="G52" s="2">
        <v>3</v>
      </c>
      <c r="H52" s="2">
        <v>5</v>
      </c>
      <c r="I52" s="2">
        <v>1</v>
      </c>
      <c r="J52" s="2">
        <v>4</v>
      </c>
      <c r="K52" s="2">
        <v>4</v>
      </c>
      <c r="L52" s="2">
        <v>5</v>
      </c>
      <c r="M52" s="2">
        <v>3</v>
      </c>
      <c r="N52" s="2">
        <v>4</v>
      </c>
      <c r="O52" s="2">
        <v>3</v>
      </c>
      <c r="P52" s="2">
        <v>5</v>
      </c>
      <c r="Q52" s="2">
        <v>5</v>
      </c>
      <c r="R52" s="2">
        <v>2</v>
      </c>
      <c r="S52" s="2">
        <v>2</v>
      </c>
      <c r="T52" s="2">
        <v>2</v>
      </c>
      <c r="U52" s="2">
        <v>5</v>
      </c>
      <c r="V52" s="2">
        <v>5</v>
      </c>
      <c r="W52" s="2">
        <v>3</v>
      </c>
      <c r="X52" s="2">
        <v>3</v>
      </c>
      <c r="Y52" s="2">
        <v>5</v>
      </c>
      <c r="Z52">
        <f t="shared" si="3"/>
        <v>3</v>
      </c>
      <c r="AA52">
        <f t="shared" si="1"/>
        <v>3</v>
      </c>
      <c r="AB52">
        <f t="shared" si="2"/>
        <v>3.75</v>
      </c>
    </row>
    <row r="53" spans="1:28" x14ac:dyDescent="0.35">
      <c r="A53" s="3" t="s">
        <v>42</v>
      </c>
      <c r="B53" s="3" t="s">
        <v>53</v>
      </c>
      <c r="C53" s="3" t="s">
        <v>62</v>
      </c>
      <c r="D53" s="3" t="s">
        <v>45</v>
      </c>
      <c r="E53" s="3" t="s">
        <v>57</v>
      </c>
      <c r="F53" s="3">
        <v>4</v>
      </c>
      <c r="G53" s="3">
        <v>5</v>
      </c>
      <c r="H53" s="3">
        <v>5</v>
      </c>
      <c r="I53" s="3">
        <v>3</v>
      </c>
      <c r="J53" s="3">
        <v>2</v>
      </c>
      <c r="K53" s="3">
        <v>5</v>
      </c>
      <c r="L53" s="3">
        <v>4</v>
      </c>
      <c r="M53" s="3">
        <v>4</v>
      </c>
      <c r="N53" s="3">
        <v>5</v>
      </c>
      <c r="O53" s="3">
        <v>2</v>
      </c>
      <c r="P53" s="3">
        <v>4</v>
      </c>
      <c r="Q53" s="3">
        <v>2</v>
      </c>
      <c r="R53" s="3">
        <v>4</v>
      </c>
      <c r="S53" s="3">
        <v>4</v>
      </c>
      <c r="T53" s="3">
        <v>2</v>
      </c>
      <c r="U53" s="3">
        <v>5</v>
      </c>
      <c r="V53" s="3">
        <v>3</v>
      </c>
      <c r="W53" s="3">
        <v>1</v>
      </c>
      <c r="X53" s="3">
        <v>4</v>
      </c>
      <c r="Y53" s="3">
        <v>5</v>
      </c>
      <c r="Z53">
        <f t="shared" si="3"/>
        <v>4.666666666666667</v>
      </c>
      <c r="AA53">
        <f t="shared" si="1"/>
        <v>3.3333333333333335</v>
      </c>
      <c r="AB53">
        <f t="shared" si="2"/>
        <v>3.75</v>
      </c>
    </row>
    <row r="54" spans="1:28" x14ac:dyDescent="0.35">
      <c r="A54" s="2" t="s">
        <v>35</v>
      </c>
      <c r="B54" s="2" t="s">
        <v>26</v>
      </c>
      <c r="C54" s="2" t="s">
        <v>62</v>
      </c>
      <c r="D54" s="2" t="s">
        <v>61</v>
      </c>
      <c r="E54" s="2" t="s">
        <v>51</v>
      </c>
      <c r="F54" s="2">
        <v>2</v>
      </c>
      <c r="G54" s="2">
        <v>4</v>
      </c>
      <c r="H54" s="2">
        <v>1</v>
      </c>
      <c r="I54" s="2">
        <v>1</v>
      </c>
      <c r="J54" s="2">
        <v>5</v>
      </c>
      <c r="K54" s="2">
        <v>5</v>
      </c>
      <c r="L54" s="2">
        <v>4</v>
      </c>
      <c r="M54" s="2">
        <v>3</v>
      </c>
      <c r="N54" s="2">
        <v>5</v>
      </c>
      <c r="O54" s="2">
        <v>5</v>
      </c>
      <c r="P54" s="2">
        <v>4</v>
      </c>
      <c r="Q54" s="2">
        <v>4</v>
      </c>
      <c r="R54" s="2">
        <v>3</v>
      </c>
      <c r="S54" s="2">
        <v>4</v>
      </c>
      <c r="T54" s="2">
        <v>1</v>
      </c>
      <c r="U54" s="2">
        <v>5</v>
      </c>
      <c r="V54" s="2">
        <v>2</v>
      </c>
      <c r="W54" s="2">
        <v>2</v>
      </c>
      <c r="X54" s="2">
        <v>3</v>
      </c>
      <c r="Y54" s="2">
        <v>5</v>
      </c>
      <c r="Z54">
        <f t="shared" si="3"/>
        <v>2.3333333333333335</v>
      </c>
      <c r="AA54">
        <f t="shared" si="1"/>
        <v>3.6666666666666665</v>
      </c>
      <c r="AB54">
        <f t="shared" si="2"/>
        <v>4.25</v>
      </c>
    </row>
    <row r="55" spans="1:28" x14ac:dyDescent="0.35">
      <c r="A55" s="3" t="s">
        <v>35</v>
      </c>
      <c r="B55" s="3" t="s">
        <v>36</v>
      </c>
      <c r="C55" s="3" t="s">
        <v>54</v>
      </c>
      <c r="D55" s="3" t="s">
        <v>56</v>
      </c>
      <c r="E55" s="3" t="s">
        <v>29</v>
      </c>
      <c r="F55" s="3">
        <v>5</v>
      </c>
      <c r="G55" s="3">
        <v>4</v>
      </c>
      <c r="H55" s="3">
        <v>4</v>
      </c>
      <c r="I55" s="3">
        <v>4</v>
      </c>
      <c r="J55" s="3">
        <v>5</v>
      </c>
      <c r="K55" s="3">
        <v>3</v>
      </c>
      <c r="L55" s="3">
        <v>3</v>
      </c>
      <c r="M55" s="3">
        <v>5</v>
      </c>
      <c r="N55" s="3">
        <v>4</v>
      </c>
      <c r="O55" s="3">
        <v>4</v>
      </c>
      <c r="P55" s="3">
        <v>4</v>
      </c>
      <c r="Q55" s="3">
        <v>3</v>
      </c>
      <c r="R55" s="3">
        <v>3</v>
      </c>
      <c r="S55" s="3">
        <v>5</v>
      </c>
      <c r="T55" s="3">
        <v>5</v>
      </c>
      <c r="U55" s="3">
        <v>5</v>
      </c>
      <c r="V55" s="3">
        <v>4</v>
      </c>
      <c r="W55" s="3">
        <v>3</v>
      </c>
      <c r="X55" s="3">
        <v>4</v>
      </c>
      <c r="Y55" s="3">
        <v>4</v>
      </c>
      <c r="Z55">
        <f t="shared" si="3"/>
        <v>4.333333333333333</v>
      </c>
      <c r="AA55">
        <f t="shared" si="1"/>
        <v>4</v>
      </c>
      <c r="AB55">
        <f t="shared" si="2"/>
        <v>4</v>
      </c>
    </row>
    <row r="56" spans="1:28" x14ac:dyDescent="0.35">
      <c r="A56" s="2" t="s">
        <v>42</v>
      </c>
      <c r="B56" s="2" t="s">
        <v>36</v>
      </c>
      <c r="C56" s="2" t="s">
        <v>54</v>
      </c>
      <c r="D56" s="2" t="s">
        <v>61</v>
      </c>
      <c r="E56" s="2" t="s">
        <v>29</v>
      </c>
      <c r="F56" s="2">
        <v>4</v>
      </c>
      <c r="G56" s="2">
        <v>5</v>
      </c>
      <c r="H56" s="2">
        <v>4</v>
      </c>
      <c r="I56" s="2">
        <v>2</v>
      </c>
      <c r="J56" s="2">
        <v>5</v>
      </c>
      <c r="K56" s="2">
        <v>2</v>
      </c>
      <c r="L56" s="2">
        <v>3</v>
      </c>
      <c r="M56" s="2">
        <v>4</v>
      </c>
      <c r="N56" s="2">
        <v>4</v>
      </c>
      <c r="O56" s="2">
        <v>3</v>
      </c>
      <c r="P56" s="2">
        <v>3</v>
      </c>
      <c r="Q56" s="2">
        <v>4</v>
      </c>
      <c r="R56" s="2">
        <v>4</v>
      </c>
      <c r="S56" s="2">
        <v>5</v>
      </c>
      <c r="T56" s="2">
        <v>1</v>
      </c>
      <c r="U56" s="2">
        <v>3</v>
      </c>
      <c r="V56" s="2">
        <v>4</v>
      </c>
      <c r="W56" s="2">
        <v>3</v>
      </c>
      <c r="X56" s="2">
        <v>5</v>
      </c>
      <c r="Y56" s="2">
        <v>2</v>
      </c>
      <c r="Z56">
        <f t="shared" si="3"/>
        <v>4.333333333333333</v>
      </c>
      <c r="AA56">
        <f t="shared" si="1"/>
        <v>3</v>
      </c>
      <c r="AB56">
        <f t="shared" si="2"/>
        <v>3.5</v>
      </c>
    </row>
    <row r="57" spans="1:28" x14ac:dyDescent="0.35">
      <c r="A57" s="3" t="s">
        <v>42</v>
      </c>
      <c r="B57" s="3" t="s">
        <v>43</v>
      </c>
      <c r="C57" s="3" t="s">
        <v>46</v>
      </c>
      <c r="D57" s="3" t="s">
        <v>61</v>
      </c>
      <c r="E57" s="3" t="s">
        <v>41</v>
      </c>
      <c r="F57" s="3">
        <v>2</v>
      </c>
      <c r="G57" s="3">
        <v>4</v>
      </c>
      <c r="H57" s="3">
        <v>5</v>
      </c>
      <c r="I57" s="3">
        <v>3</v>
      </c>
      <c r="J57" s="3">
        <v>5</v>
      </c>
      <c r="K57" s="3">
        <v>4</v>
      </c>
      <c r="L57" s="3">
        <v>5</v>
      </c>
      <c r="M57" s="3">
        <v>2</v>
      </c>
      <c r="N57" s="3">
        <v>4</v>
      </c>
      <c r="O57" s="3">
        <v>5</v>
      </c>
      <c r="P57" s="3">
        <v>4</v>
      </c>
      <c r="Q57" s="3">
        <v>5</v>
      </c>
      <c r="R57" s="3">
        <v>2</v>
      </c>
      <c r="S57" s="3">
        <v>3</v>
      </c>
      <c r="T57" s="3">
        <v>4</v>
      </c>
      <c r="U57" s="3">
        <v>5</v>
      </c>
      <c r="V57" s="3">
        <v>4</v>
      </c>
      <c r="W57" s="3">
        <v>3</v>
      </c>
      <c r="X57" s="3">
        <v>4</v>
      </c>
      <c r="Y57" s="3">
        <v>5</v>
      </c>
      <c r="Z57">
        <f t="shared" si="3"/>
        <v>3.6666666666666665</v>
      </c>
      <c r="AA57">
        <f t="shared" si="1"/>
        <v>4</v>
      </c>
      <c r="AB57">
        <f t="shared" si="2"/>
        <v>4</v>
      </c>
    </row>
    <row r="58" spans="1:28" x14ac:dyDescent="0.35">
      <c r="A58" s="2" t="s">
        <v>42</v>
      </c>
      <c r="B58" s="2" t="s">
        <v>48</v>
      </c>
      <c r="C58" s="2" t="s">
        <v>60</v>
      </c>
      <c r="D58" s="2" t="s">
        <v>52</v>
      </c>
      <c r="E58" s="2" t="s">
        <v>57</v>
      </c>
      <c r="F58" s="2">
        <v>3</v>
      </c>
      <c r="G58" s="2">
        <v>3</v>
      </c>
      <c r="H58" s="2">
        <v>4</v>
      </c>
      <c r="I58" s="2">
        <v>4</v>
      </c>
      <c r="J58" s="2">
        <v>5</v>
      </c>
      <c r="K58" s="2">
        <v>5</v>
      </c>
      <c r="L58" s="2">
        <v>2</v>
      </c>
      <c r="M58" s="2">
        <v>5</v>
      </c>
      <c r="N58" s="2">
        <v>4</v>
      </c>
      <c r="O58" s="2">
        <v>4</v>
      </c>
      <c r="P58" s="2">
        <v>4</v>
      </c>
      <c r="Q58" s="2">
        <v>5</v>
      </c>
      <c r="R58" s="2">
        <v>4</v>
      </c>
      <c r="S58" s="2">
        <v>3</v>
      </c>
      <c r="T58" s="2">
        <v>5</v>
      </c>
      <c r="U58" s="2">
        <v>5</v>
      </c>
      <c r="V58" s="2">
        <v>2</v>
      </c>
      <c r="W58" s="2">
        <v>4</v>
      </c>
      <c r="X58" s="2">
        <v>4</v>
      </c>
      <c r="Y58" s="2">
        <v>5</v>
      </c>
      <c r="Z58">
        <f t="shared" si="3"/>
        <v>3.3333333333333335</v>
      </c>
      <c r="AA58">
        <f t="shared" si="1"/>
        <v>4.666666666666667</v>
      </c>
      <c r="AB58">
        <f t="shared" si="2"/>
        <v>3.75</v>
      </c>
    </row>
    <row r="59" spans="1:28" x14ac:dyDescent="0.35">
      <c r="A59" s="3" t="s">
        <v>42</v>
      </c>
      <c r="B59" s="3" t="s">
        <v>26</v>
      </c>
      <c r="C59" s="3" t="s">
        <v>49</v>
      </c>
      <c r="D59" s="3" t="s">
        <v>45</v>
      </c>
      <c r="E59" s="3" t="s">
        <v>51</v>
      </c>
      <c r="F59" s="3">
        <v>4</v>
      </c>
      <c r="G59" s="3">
        <v>4</v>
      </c>
      <c r="H59" s="3">
        <v>3</v>
      </c>
      <c r="I59" s="3">
        <v>4</v>
      </c>
      <c r="J59" s="3">
        <v>4</v>
      </c>
      <c r="K59" s="3">
        <v>3</v>
      </c>
      <c r="L59" s="3">
        <v>1</v>
      </c>
      <c r="M59" s="3">
        <v>3</v>
      </c>
      <c r="N59" s="3">
        <v>2</v>
      </c>
      <c r="O59" s="3">
        <v>4</v>
      </c>
      <c r="P59" s="3">
        <v>4</v>
      </c>
      <c r="Q59" s="3">
        <v>5</v>
      </c>
      <c r="R59" s="3">
        <v>4</v>
      </c>
      <c r="S59" s="3">
        <v>4</v>
      </c>
      <c r="T59" s="3">
        <v>4</v>
      </c>
      <c r="U59" s="3">
        <v>1</v>
      </c>
      <c r="V59" s="3">
        <v>3</v>
      </c>
      <c r="W59" s="3">
        <v>5</v>
      </c>
      <c r="X59" s="3">
        <v>4</v>
      </c>
      <c r="Y59" s="3">
        <v>4</v>
      </c>
      <c r="Z59">
        <f t="shared" si="3"/>
        <v>3.6666666666666665</v>
      </c>
      <c r="AA59">
        <f t="shared" si="1"/>
        <v>3.6666666666666665</v>
      </c>
      <c r="AB59">
        <f t="shared" si="2"/>
        <v>2.5</v>
      </c>
    </row>
    <row r="60" spans="1:28" x14ac:dyDescent="0.35">
      <c r="A60" s="2" t="s">
        <v>42</v>
      </c>
      <c r="B60" s="2" t="s">
        <v>48</v>
      </c>
      <c r="C60" s="2" t="s">
        <v>55</v>
      </c>
      <c r="D60" s="2" t="s">
        <v>56</v>
      </c>
      <c r="E60" s="2" t="s">
        <v>41</v>
      </c>
      <c r="F60" s="2">
        <v>4</v>
      </c>
      <c r="G60" s="2">
        <v>5</v>
      </c>
      <c r="H60" s="2">
        <v>5</v>
      </c>
      <c r="I60" s="2">
        <v>1</v>
      </c>
      <c r="J60" s="2">
        <v>4</v>
      </c>
      <c r="K60" s="2">
        <v>3</v>
      </c>
      <c r="L60" s="2">
        <v>4</v>
      </c>
      <c r="M60" s="2">
        <v>4</v>
      </c>
      <c r="N60" s="2">
        <v>4</v>
      </c>
      <c r="O60" s="2">
        <v>4</v>
      </c>
      <c r="P60" s="2">
        <v>5</v>
      </c>
      <c r="Q60" s="2">
        <v>4</v>
      </c>
      <c r="R60" s="2">
        <v>2</v>
      </c>
      <c r="S60" s="2">
        <v>3</v>
      </c>
      <c r="T60" s="2">
        <v>4</v>
      </c>
      <c r="U60" s="2">
        <v>3</v>
      </c>
      <c r="V60" s="2">
        <v>4</v>
      </c>
      <c r="W60" s="2">
        <v>4</v>
      </c>
      <c r="X60" s="2">
        <v>5</v>
      </c>
      <c r="Y60" s="2">
        <v>1</v>
      </c>
      <c r="Z60">
        <f t="shared" si="3"/>
        <v>4.666666666666667</v>
      </c>
      <c r="AA60">
        <f t="shared" si="1"/>
        <v>2.6666666666666665</v>
      </c>
      <c r="AB60">
        <f t="shared" si="2"/>
        <v>4</v>
      </c>
    </row>
    <row r="61" spans="1:28" x14ac:dyDescent="0.35">
      <c r="A61" s="3" t="s">
        <v>25</v>
      </c>
      <c r="B61" s="3" t="s">
        <v>48</v>
      </c>
      <c r="C61" s="3" t="s">
        <v>49</v>
      </c>
      <c r="D61" s="3" t="s">
        <v>40</v>
      </c>
      <c r="E61" s="3" t="s">
        <v>57</v>
      </c>
      <c r="F61" s="3">
        <v>5</v>
      </c>
      <c r="G61" s="3">
        <v>4</v>
      </c>
      <c r="H61" s="3">
        <v>4</v>
      </c>
      <c r="I61" s="3">
        <v>3</v>
      </c>
      <c r="J61" s="3">
        <v>3</v>
      </c>
      <c r="K61" s="3">
        <v>4</v>
      </c>
      <c r="L61" s="3">
        <v>4</v>
      </c>
      <c r="M61" s="3">
        <v>3</v>
      </c>
      <c r="N61" s="3">
        <v>4</v>
      </c>
      <c r="O61" s="3">
        <v>4</v>
      </c>
      <c r="P61" s="3">
        <v>3</v>
      </c>
      <c r="Q61" s="3">
        <v>5</v>
      </c>
      <c r="R61" s="3">
        <v>5</v>
      </c>
      <c r="S61" s="3">
        <v>4</v>
      </c>
      <c r="T61" s="3">
        <v>5</v>
      </c>
      <c r="U61" s="3">
        <v>3</v>
      </c>
      <c r="V61" s="3">
        <v>3</v>
      </c>
      <c r="W61" s="3">
        <v>5</v>
      </c>
      <c r="X61" s="3">
        <v>5</v>
      </c>
      <c r="Y61" s="3">
        <v>5</v>
      </c>
      <c r="Z61">
        <f t="shared" si="3"/>
        <v>4.333333333333333</v>
      </c>
      <c r="AA61">
        <f t="shared" si="1"/>
        <v>3.3333333333333335</v>
      </c>
      <c r="AB61">
        <f t="shared" si="2"/>
        <v>3.75</v>
      </c>
    </row>
    <row r="62" spans="1:28" x14ac:dyDescent="0.35">
      <c r="A62" s="2" t="s">
        <v>25</v>
      </c>
      <c r="B62" s="2" t="s">
        <v>48</v>
      </c>
      <c r="C62" s="2" t="s">
        <v>62</v>
      </c>
      <c r="D62" s="2" t="s">
        <v>50</v>
      </c>
      <c r="E62" s="2" t="s">
        <v>51</v>
      </c>
      <c r="F62" s="2">
        <v>5</v>
      </c>
      <c r="G62" s="2">
        <v>4</v>
      </c>
      <c r="H62" s="2">
        <v>5</v>
      </c>
      <c r="I62" s="2">
        <v>4</v>
      </c>
      <c r="J62" s="2">
        <v>5</v>
      </c>
      <c r="K62" s="2">
        <v>4</v>
      </c>
      <c r="L62" s="2">
        <v>1</v>
      </c>
      <c r="M62" s="2">
        <v>1</v>
      </c>
      <c r="N62" s="2">
        <v>4</v>
      </c>
      <c r="O62" s="2">
        <v>5</v>
      </c>
      <c r="P62" s="2">
        <v>5</v>
      </c>
      <c r="Q62" s="2">
        <v>4</v>
      </c>
      <c r="R62" s="2">
        <v>2</v>
      </c>
      <c r="S62" s="2">
        <v>1</v>
      </c>
      <c r="T62" s="2">
        <v>5</v>
      </c>
      <c r="U62" s="2">
        <v>5</v>
      </c>
      <c r="V62" s="2">
        <v>4</v>
      </c>
      <c r="W62" s="2">
        <v>3</v>
      </c>
      <c r="X62" s="2">
        <v>5</v>
      </c>
      <c r="Y62" s="2">
        <v>5</v>
      </c>
      <c r="Z62">
        <f t="shared" si="3"/>
        <v>4.666666666666667</v>
      </c>
      <c r="AA62">
        <f t="shared" si="1"/>
        <v>4.333333333333333</v>
      </c>
      <c r="AB62">
        <f t="shared" si="2"/>
        <v>2.75</v>
      </c>
    </row>
    <row r="63" spans="1:28" x14ac:dyDescent="0.35">
      <c r="A63" s="3" t="s">
        <v>42</v>
      </c>
      <c r="B63" s="3" t="s">
        <v>43</v>
      </c>
      <c r="C63" s="3" t="s">
        <v>49</v>
      </c>
      <c r="D63" s="3" t="s">
        <v>50</v>
      </c>
      <c r="E63" s="3" t="s">
        <v>57</v>
      </c>
      <c r="F63" s="3">
        <v>4</v>
      </c>
      <c r="G63" s="3">
        <v>3</v>
      </c>
      <c r="H63" s="3">
        <v>3</v>
      </c>
      <c r="I63" s="3">
        <v>1</v>
      </c>
      <c r="J63" s="3">
        <v>1</v>
      </c>
      <c r="K63" s="3">
        <v>5</v>
      </c>
      <c r="L63" s="3">
        <v>4</v>
      </c>
      <c r="M63" s="3">
        <v>1</v>
      </c>
      <c r="N63" s="3">
        <v>4</v>
      </c>
      <c r="O63" s="3">
        <v>3</v>
      </c>
      <c r="P63" s="3">
        <v>3</v>
      </c>
      <c r="Q63" s="3">
        <v>2</v>
      </c>
      <c r="R63" s="3">
        <v>2</v>
      </c>
      <c r="S63" s="3">
        <v>1</v>
      </c>
      <c r="T63" s="3">
        <v>3</v>
      </c>
      <c r="U63" s="3">
        <v>5</v>
      </c>
      <c r="V63" s="3">
        <v>4</v>
      </c>
      <c r="W63" s="3">
        <v>3</v>
      </c>
      <c r="X63" s="3">
        <v>4</v>
      </c>
      <c r="Y63" s="3">
        <v>4</v>
      </c>
      <c r="Z63">
        <f t="shared" si="3"/>
        <v>3.3333333333333335</v>
      </c>
      <c r="AA63">
        <f t="shared" si="1"/>
        <v>2.3333333333333335</v>
      </c>
      <c r="AB63">
        <f t="shared" si="2"/>
        <v>3</v>
      </c>
    </row>
    <row r="64" spans="1:28" x14ac:dyDescent="0.35">
      <c r="A64" s="2" t="s">
        <v>42</v>
      </c>
      <c r="B64" s="2" t="s">
        <v>36</v>
      </c>
      <c r="C64" s="2" t="s">
        <v>60</v>
      </c>
      <c r="D64" s="2" t="s">
        <v>45</v>
      </c>
      <c r="E64" s="2" t="s">
        <v>39</v>
      </c>
      <c r="F64" s="2">
        <v>4</v>
      </c>
      <c r="G64" s="2">
        <v>4</v>
      </c>
      <c r="H64" s="2">
        <v>4</v>
      </c>
      <c r="I64" s="2">
        <v>4</v>
      </c>
      <c r="J64" s="2">
        <v>4</v>
      </c>
      <c r="K64" s="2">
        <v>2</v>
      </c>
      <c r="L64" s="2">
        <v>4</v>
      </c>
      <c r="M64" s="2">
        <v>3</v>
      </c>
      <c r="N64" s="2">
        <v>5</v>
      </c>
      <c r="O64" s="2">
        <v>5</v>
      </c>
      <c r="P64" s="2">
        <v>4</v>
      </c>
      <c r="Q64" s="2">
        <v>4</v>
      </c>
      <c r="R64" s="2">
        <v>4</v>
      </c>
      <c r="S64" s="2">
        <v>2</v>
      </c>
      <c r="T64" s="2">
        <v>3</v>
      </c>
      <c r="U64" s="2">
        <v>5</v>
      </c>
      <c r="V64" s="2">
        <v>3</v>
      </c>
      <c r="W64" s="2">
        <v>5</v>
      </c>
      <c r="X64" s="2">
        <v>2</v>
      </c>
      <c r="Y64" s="2">
        <v>5</v>
      </c>
      <c r="Z64">
        <f t="shared" si="3"/>
        <v>4</v>
      </c>
      <c r="AA64">
        <f t="shared" si="1"/>
        <v>3.3333333333333335</v>
      </c>
      <c r="AB64">
        <f t="shared" si="2"/>
        <v>4.25</v>
      </c>
    </row>
    <row r="65" spans="1:28" x14ac:dyDescent="0.35">
      <c r="A65" s="3" t="s">
        <v>42</v>
      </c>
      <c r="B65" s="3" t="s">
        <v>26</v>
      </c>
      <c r="C65" s="3" t="s">
        <v>54</v>
      </c>
      <c r="D65" s="3" t="s">
        <v>28</v>
      </c>
      <c r="E65" s="3" t="s">
        <v>39</v>
      </c>
      <c r="F65" s="3">
        <v>2</v>
      </c>
      <c r="G65" s="3">
        <v>4</v>
      </c>
      <c r="H65" s="3">
        <v>4</v>
      </c>
      <c r="I65" s="3">
        <v>4</v>
      </c>
      <c r="J65" s="3">
        <v>4</v>
      </c>
      <c r="K65" s="3">
        <v>5</v>
      </c>
      <c r="L65" s="3">
        <v>5</v>
      </c>
      <c r="M65" s="3">
        <v>4</v>
      </c>
      <c r="N65" s="3">
        <v>5</v>
      </c>
      <c r="O65" s="3">
        <v>1</v>
      </c>
      <c r="P65" s="3">
        <v>4</v>
      </c>
      <c r="Q65" s="3">
        <v>1</v>
      </c>
      <c r="R65" s="3">
        <v>2</v>
      </c>
      <c r="S65" s="3">
        <v>4</v>
      </c>
      <c r="T65" s="3">
        <v>4</v>
      </c>
      <c r="U65" s="3">
        <v>3</v>
      </c>
      <c r="V65" s="3">
        <v>4</v>
      </c>
      <c r="W65" s="3">
        <v>2</v>
      </c>
      <c r="X65" s="3">
        <v>2</v>
      </c>
      <c r="Y65" s="3">
        <v>5</v>
      </c>
      <c r="Z65">
        <f t="shared" si="3"/>
        <v>3.3333333333333335</v>
      </c>
      <c r="AA65">
        <f t="shared" si="1"/>
        <v>4.333333333333333</v>
      </c>
      <c r="AB65">
        <f t="shared" si="2"/>
        <v>3.75</v>
      </c>
    </row>
    <row r="66" spans="1:28" x14ac:dyDescent="0.35">
      <c r="A66" s="2" t="s">
        <v>35</v>
      </c>
      <c r="B66" s="2" t="s">
        <v>26</v>
      </c>
      <c r="C66" s="2" t="s">
        <v>49</v>
      </c>
      <c r="D66" s="2" t="s">
        <v>58</v>
      </c>
      <c r="E66" s="2" t="s">
        <v>41</v>
      </c>
      <c r="F66" s="2">
        <v>4</v>
      </c>
      <c r="G66" s="2">
        <v>5</v>
      </c>
      <c r="H66" s="2">
        <v>5</v>
      </c>
      <c r="I66" s="2">
        <v>2</v>
      </c>
      <c r="J66" s="2">
        <v>5</v>
      </c>
      <c r="K66" s="2">
        <v>4</v>
      </c>
      <c r="L66" s="2">
        <v>4</v>
      </c>
      <c r="M66" s="2">
        <v>3</v>
      </c>
      <c r="N66" s="2">
        <v>3</v>
      </c>
      <c r="O66" s="2">
        <v>4</v>
      </c>
      <c r="P66" s="2">
        <v>2</v>
      </c>
      <c r="Q66" s="2">
        <v>4</v>
      </c>
      <c r="R66" s="2">
        <v>4</v>
      </c>
      <c r="S66" s="2">
        <v>2</v>
      </c>
      <c r="T66" s="2">
        <v>4</v>
      </c>
      <c r="U66" s="2">
        <v>4</v>
      </c>
      <c r="V66" s="2">
        <v>4</v>
      </c>
      <c r="W66" s="2">
        <v>3</v>
      </c>
      <c r="X66" s="2">
        <v>3</v>
      </c>
      <c r="Y66" s="2">
        <v>3</v>
      </c>
      <c r="Z66">
        <f t="shared" ref="Z66:Z97" si="4">AVERAGE(F66:H66)</f>
        <v>4.666666666666667</v>
      </c>
      <c r="AA66">
        <f t="shared" si="1"/>
        <v>3.6666666666666665</v>
      </c>
      <c r="AB66">
        <f t="shared" si="2"/>
        <v>3.5</v>
      </c>
    </row>
    <row r="67" spans="1:28" x14ac:dyDescent="0.35">
      <c r="A67" s="3" t="s">
        <v>42</v>
      </c>
      <c r="B67" s="3" t="s">
        <v>43</v>
      </c>
      <c r="C67" s="3" t="s">
        <v>44</v>
      </c>
      <c r="D67" s="3" t="s">
        <v>28</v>
      </c>
      <c r="E67" s="3" t="s">
        <v>51</v>
      </c>
      <c r="F67" s="3">
        <v>4</v>
      </c>
      <c r="G67" s="3">
        <v>5</v>
      </c>
      <c r="H67" s="3">
        <v>2</v>
      </c>
      <c r="I67" s="3">
        <v>3</v>
      </c>
      <c r="J67" s="3">
        <v>1</v>
      </c>
      <c r="K67" s="3">
        <v>4</v>
      </c>
      <c r="L67" s="3">
        <v>3</v>
      </c>
      <c r="M67" s="3">
        <v>5</v>
      </c>
      <c r="N67" s="3">
        <v>5</v>
      </c>
      <c r="O67" s="3">
        <v>4</v>
      </c>
      <c r="P67" s="3">
        <v>3</v>
      </c>
      <c r="Q67" s="3">
        <v>5</v>
      </c>
      <c r="R67" s="3">
        <v>2</v>
      </c>
      <c r="S67" s="3">
        <v>1</v>
      </c>
      <c r="T67" s="3">
        <v>2</v>
      </c>
      <c r="U67" s="3">
        <v>5</v>
      </c>
      <c r="V67" s="3">
        <v>2</v>
      </c>
      <c r="W67" s="3">
        <v>4</v>
      </c>
      <c r="X67" s="3">
        <v>5</v>
      </c>
      <c r="Y67" s="3">
        <v>5</v>
      </c>
      <c r="Z67">
        <f t="shared" si="4"/>
        <v>3.6666666666666665</v>
      </c>
      <c r="AA67">
        <f t="shared" ref="AA67:AA130" si="5">AVERAGE(I67:K67)</f>
        <v>2.6666666666666665</v>
      </c>
      <c r="AB67">
        <f t="shared" ref="AB67:AB130" si="6">AVERAGE(L67:O67)</f>
        <v>4.25</v>
      </c>
    </row>
    <row r="68" spans="1:28" x14ac:dyDescent="0.35">
      <c r="A68" s="2" t="s">
        <v>42</v>
      </c>
      <c r="B68" s="2" t="s">
        <v>48</v>
      </c>
      <c r="C68" s="2" t="s">
        <v>44</v>
      </c>
      <c r="D68" s="2" t="s">
        <v>38</v>
      </c>
      <c r="E68" s="2" t="s">
        <v>57</v>
      </c>
      <c r="F68" s="2">
        <v>5</v>
      </c>
      <c r="G68" s="2">
        <v>5</v>
      </c>
      <c r="H68" s="2">
        <v>4</v>
      </c>
      <c r="I68" s="2">
        <v>2</v>
      </c>
      <c r="J68" s="2">
        <v>4</v>
      </c>
      <c r="K68" s="2">
        <v>3</v>
      </c>
      <c r="L68" s="2">
        <v>1</v>
      </c>
      <c r="M68" s="2">
        <v>4</v>
      </c>
      <c r="N68" s="2">
        <v>5</v>
      </c>
      <c r="O68" s="2">
        <v>4</v>
      </c>
      <c r="P68" s="2">
        <v>3</v>
      </c>
      <c r="Q68" s="2">
        <v>4</v>
      </c>
      <c r="R68" s="2">
        <v>3</v>
      </c>
      <c r="S68" s="2">
        <v>2</v>
      </c>
      <c r="T68" s="2">
        <v>2</v>
      </c>
      <c r="U68" s="2">
        <v>3</v>
      </c>
      <c r="V68" s="2">
        <v>5</v>
      </c>
      <c r="W68" s="2">
        <v>4</v>
      </c>
      <c r="X68" s="2">
        <v>2</v>
      </c>
      <c r="Y68" s="2">
        <v>4</v>
      </c>
      <c r="Z68">
        <f t="shared" si="4"/>
        <v>4.666666666666667</v>
      </c>
      <c r="AA68">
        <f t="shared" si="5"/>
        <v>3</v>
      </c>
      <c r="AB68">
        <f t="shared" si="6"/>
        <v>3.5</v>
      </c>
    </row>
    <row r="69" spans="1:28" x14ac:dyDescent="0.35">
      <c r="A69" s="3" t="s">
        <v>25</v>
      </c>
      <c r="B69" s="3" t="s">
        <v>48</v>
      </c>
      <c r="C69" s="3" t="s">
        <v>46</v>
      </c>
      <c r="D69" s="3" t="s">
        <v>52</v>
      </c>
      <c r="E69" s="3" t="s">
        <v>41</v>
      </c>
      <c r="F69" s="3">
        <v>2</v>
      </c>
      <c r="G69" s="3">
        <v>5</v>
      </c>
      <c r="H69" s="3">
        <v>2</v>
      </c>
      <c r="I69" s="3">
        <v>3</v>
      </c>
      <c r="J69" s="3">
        <v>2</v>
      </c>
      <c r="K69" s="3">
        <v>1</v>
      </c>
      <c r="L69" s="3">
        <v>5</v>
      </c>
      <c r="M69" s="3">
        <v>4</v>
      </c>
      <c r="N69" s="3">
        <v>4</v>
      </c>
      <c r="O69" s="3">
        <v>1</v>
      </c>
      <c r="P69" s="3">
        <v>5</v>
      </c>
      <c r="Q69" s="3">
        <v>4</v>
      </c>
      <c r="R69" s="3">
        <v>5</v>
      </c>
      <c r="S69" s="3">
        <v>4</v>
      </c>
      <c r="T69" s="3">
        <v>2</v>
      </c>
      <c r="U69" s="3">
        <v>4</v>
      </c>
      <c r="V69" s="3">
        <v>5</v>
      </c>
      <c r="W69" s="3">
        <v>4</v>
      </c>
      <c r="X69" s="3">
        <v>4</v>
      </c>
      <c r="Y69" s="3">
        <v>1</v>
      </c>
      <c r="Z69">
        <f t="shared" si="4"/>
        <v>3</v>
      </c>
      <c r="AA69">
        <f t="shared" si="5"/>
        <v>2</v>
      </c>
      <c r="AB69">
        <f t="shared" si="6"/>
        <v>3.5</v>
      </c>
    </row>
    <row r="70" spans="1:28" x14ac:dyDescent="0.35">
      <c r="A70" s="2" t="s">
        <v>35</v>
      </c>
      <c r="B70" s="2" t="s">
        <v>48</v>
      </c>
      <c r="C70" s="2" t="s">
        <v>59</v>
      </c>
      <c r="D70" s="2" t="s">
        <v>28</v>
      </c>
      <c r="E70" s="2" t="s">
        <v>51</v>
      </c>
      <c r="F70" s="2">
        <v>5</v>
      </c>
      <c r="G70" s="2">
        <v>4</v>
      </c>
      <c r="H70" s="2">
        <v>2</v>
      </c>
      <c r="I70" s="2">
        <v>5</v>
      </c>
      <c r="J70" s="2">
        <v>5</v>
      </c>
      <c r="K70" s="2">
        <v>5</v>
      </c>
      <c r="L70" s="2">
        <v>5</v>
      </c>
      <c r="M70" s="2">
        <v>4</v>
      </c>
      <c r="N70" s="2">
        <v>3</v>
      </c>
      <c r="O70" s="2">
        <v>4</v>
      </c>
      <c r="P70" s="2">
        <v>5</v>
      </c>
      <c r="Q70" s="2">
        <v>1</v>
      </c>
      <c r="R70" s="2">
        <v>3</v>
      </c>
      <c r="S70" s="2">
        <v>4</v>
      </c>
      <c r="T70" s="2">
        <v>1</v>
      </c>
      <c r="U70" s="2">
        <v>5</v>
      </c>
      <c r="V70" s="2">
        <v>4</v>
      </c>
      <c r="W70" s="2">
        <v>4</v>
      </c>
      <c r="X70" s="2">
        <v>5</v>
      </c>
      <c r="Y70" s="2">
        <v>1</v>
      </c>
      <c r="Z70">
        <f t="shared" si="4"/>
        <v>3.6666666666666665</v>
      </c>
      <c r="AA70">
        <f t="shared" si="5"/>
        <v>5</v>
      </c>
      <c r="AB70">
        <f t="shared" si="6"/>
        <v>4</v>
      </c>
    </row>
    <row r="71" spans="1:28" x14ac:dyDescent="0.35">
      <c r="A71" s="3" t="s">
        <v>42</v>
      </c>
      <c r="B71" s="3" t="s">
        <v>48</v>
      </c>
      <c r="C71" s="3" t="s">
        <v>54</v>
      </c>
      <c r="D71" s="3" t="s">
        <v>38</v>
      </c>
      <c r="E71" s="3" t="s">
        <v>41</v>
      </c>
      <c r="F71" s="3">
        <v>3</v>
      </c>
      <c r="G71" s="3">
        <v>5</v>
      </c>
      <c r="H71" s="3">
        <v>5</v>
      </c>
      <c r="I71" s="3">
        <v>2</v>
      </c>
      <c r="J71" s="3">
        <v>3</v>
      </c>
      <c r="K71" s="3">
        <v>4</v>
      </c>
      <c r="L71" s="3">
        <v>4</v>
      </c>
      <c r="M71" s="3">
        <v>4</v>
      </c>
      <c r="N71" s="3">
        <v>2</v>
      </c>
      <c r="O71" s="3">
        <v>5</v>
      </c>
      <c r="P71" s="3">
        <v>2</v>
      </c>
      <c r="Q71" s="3">
        <v>5</v>
      </c>
      <c r="R71" s="3">
        <v>4</v>
      </c>
      <c r="S71" s="3">
        <v>2</v>
      </c>
      <c r="T71" s="3">
        <v>2</v>
      </c>
      <c r="U71" s="3">
        <v>5</v>
      </c>
      <c r="V71" s="3">
        <v>4</v>
      </c>
      <c r="W71" s="3">
        <v>5</v>
      </c>
      <c r="X71" s="3">
        <v>4</v>
      </c>
      <c r="Y71" s="3">
        <v>4</v>
      </c>
      <c r="Z71">
        <f t="shared" si="4"/>
        <v>4.333333333333333</v>
      </c>
      <c r="AA71">
        <f t="shared" si="5"/>
        <v>3</v>
      </c>
      <c r="AB71">
        <f t="shared" si="6"/>
        <v>3.75</v>
      </c>
    </row>
    <row r="72" spans="1:28" x14ac:dyDescent="0.35">
      <c r="A72" s="2" t="s">
        <v>42</v>
      </c>
      <c r="B72" s="2" t="s">
        <v>53</v>
      </c>
      <c r="C72" s="2" t="s">
        <v>55</v>
      </c>
      <c r="D72" s="2" t="s">
        <v>61</v>
      </c>
      <c r="E72" s="2" t="s">
        <v>57</v>
      </c>
      <c r="F72" s="2">
        <v>3</v>
      </c>
      <c r="G72" s="2">
        <v>5</v>
      </c>
      <c r="H72" s="2">
        <v>2</v>
      </c>
      <c r="I72" s="2">
        <v>5</v>
      </c>
      <c r="J72" s="2">
        <v>5</v>
      </c>
      <c r="K72" s="2">
        <v>5</v>
      </c>
      <c r="L72" s="2">
        <v>2</v>
      </c>
      <c r="M72" s="2">
        <v>4</v>
      </c>
      <c r="N72" s="2">
        <v>4</v>
      </c>
      <c r="O72" s="2">
        <v>3</v>
      </c>
      <c r="P72" s="2">
        <v>3</v>
      </c>
      <c r="Q72" s="2">
        <v>4</v>
      </c>
      <c r="R72" s="2">
        <v>5</v>
      </c>
      <c r="S72" s="2">
        <v>1</v>
      </c>
      <c r="T72" s="2">
        <v>5</v>
      </c>
      <c r="U72" s="2">
        <v>5</v>
      </c>
      <c r="V72" s="2">
        <v>5</v>
      </c>
      <c r="W72" s="2">
        <v>4</v>
      </c>
      <c r="X72" s="2">
        <v>4</v>
      </c>
      <c r="Y72" s="2">
        <v>3</v>
      </c>
      <c r="Z72">
        <f t="shared" si="4"/>
        <v>3.3333333333333335</v>
      </c>
      <c r="AA72">
        <f t="shared" si="5"/>
        <v>5</v>
      </c>
      <c r="AB72">
        <f t="shared" si="6"/>
        <v>3.25</v>
      </c>
    </row>
    <row r="73" spans="1:28" x14ac:dyDescent="0.35">
      <c r="A73" s="3" t="s">
        <v>35</v>
      </c>
      <c r="B73" s="3" t="s">
        <v>53</v>
      </c>
      <c r="C73" s="3" t="s">
        <v>37</v>
      </c>
      <c r="D73" s="3" t="s">
        <v>50</v>
      </c>
      <c r="E73" s="3" t="s">
        <v>41</v>
      </c>
      <c r="F73" s="3">
        <v>5</v>
      </c>
      <c r="G73" s="3">
        <v>5</v>
      </c>
      <c r="H73" s="3">
        <v>1</v>
      </c>
      <c r="I73" s="3">
        <v>1</v>
      </c>
      <c r="J73" s="3">
        <v>4</v>
      </c>
      <c r="K73" s="3">
        <v>5</v>
      </c>
      <c r="L73" s="3">
        <v>2</v>
      </c>
      <c r="M73" s="3">
        <v>3</v>
      </c>
      <c r="N73" s="3">
        <v>4</v>
      </c>
      <c r="O73" s="3">
        <v>2</v>
      </c>
      <c r="P73" s="3">
        <v>4</v>
      </c>
      <c r="Q73" s="3">
        <v>5</v>
      </c>
      <c r="R73" s="3">
        <v>4</v>
      </c>
      <c r="S73" s="3">
        <v>5</v>
      </c>
      <c r="T73" s="3">
        <v>5</v>
      </c>
      <c r="U73" s="3">
        <v>5</v>
      </c>
      <c r="V73" s="3">
        <v>4</v>
      </c>
      <c r="W73" s="3">
        <v>2</v>
      </c>
      <c r="X73" s="3">
        <v>4</v>
      </c>
      <c r="Y73" s="3">
        <v>5</v>
      </c>
      <c r="Z73">
        <f t="shared" si="4"/>
        <v>3.6666666666666665</v>
      </c>
      <c r="AA73">
        <f t="shared" si="5"/>
        <v>3.3333333333333335</v>
      </c>
      <c r="AB73">
        <f t="shared" si="6"/>
        <v>2.75</v>
      </c>
    </row>
    <row r="74" spans="1:28" x14ac:dyDescent="0.35">
      <c r="A74" s="2" t="s">
        <v>42</v>
      </c>
      <c r="B74" s="2" t="s">
        <v>43</v>
      </c>
      <c r="C74" s="2" t="s">
        <v>27</v>
      </c>
      <c r="D74" s="2" t="s">
        <v>40</v>
      </c>
      <c r="E74" s="2" t="s">
        <v>39</v>
      </c>
      <c r="F74" s="2">
        <v>4</v>
      </c>
      <c r="G74" s="2">
        <v>2</v>
      </c>
      <c r="H74" s="2">
        <v>5</v>
      </c>
      <c r="I74" s="2">
        <v>4</v>
      </c>
      <c r="J74" s="2">
        <v>5</v>
      </c>
      <c r="K74" s="2">
        <v>5</v>
      </c>
      <c r="L74" s="2">
        <v>4</v>
      </c>
      <c r="M74" s="2">
        <v>1</v>
      </c>
      <c r="N74" s="2">
        <v>1</v>
      </c>
      <c r="O74" s="2">
        <v>3</v>
      </c>
      <c r="P74" s="2">
        <v>3</v>
      </c>
      <c r="Q74" s="2">
        <v>4</v>
      </c>
      <c r="R74" s="2">
        <v>5</v>
      </c>
      <c r="S74" s="2">
        <v>5</v>
      </c>
      <c r="T74" s="2">
        <v>4</v>
      </c>
      <c r="U74" s="2">
        <v>3</v>
      </c>
      <c r="V74" s="2">
        <v>2</v>
      </c>
      <c r="W74" s="2">
        <v>2</v>
      </c>
      <c r="X74" s="2">
        <v>5</v>
      </c>
      <c r="Y74" s="2">
        <v>4</v>
      </c>
      <c r="Z74">
        <f t="shared" si="4"/>
        <v>3.6666666666666665</v>
      </c>
      <c r="AA74">
        <f t="shared" si="5"/>
        <v>4.666666666666667</v>
      </c>
      <c r="AB74">
        <f t="shared" si="6"/>
        <v>2.25</v>
      </c>
    </row>
    <row r="75" spans="1:28" x14ac:dyDescent="0.35">
      <c r="A75" s="3" t="s">
        <v>35</v>
      </c>
      <c r="B75" s="3" t="s">
        <v>53</v>
      </c>
      <c r="C75" s="3" t="s">
        <v>44</v>
      </c>
      <c r="D75" s="3" t="s">
        <v>28</v>
      </c>
      <c r="E75" s="3" t="s">
        <v>29</v>
      </c>
      <c r="F75" s="3">
        <v>3</v>
      </c>
      <c r="G75" s="3">
        <v>2</v>
      </c>
      <c r="H75" s="3">
        <v>4</v>
      </c>
      <c r="I75" s="3">
        <v>2</v>
      </c>
      <c r="J75" s="3">
        <v>5</v>
      </c>
      <c r="K75" s="3">
        <v>3</v>
      </c>
      <c r="L75" s="3">
        <v>3</v>
      </c>
      <c r="M75" s="3">
        <v>4</v>
      </c>
      <c r="N75" s="3">
        <v>5</v>
      </c>
      <c r="O75" s="3">
        <v>5</v>
      </c>
      <c r="P75" s="3">
        <v>4</v>
      </c>
      <c r="Q75" s="3">
        <v>5</v>
      </c>
      <c r="R75" s="3">
        <v>4</v>
      </c>
      <c r="S75" s="3">
        <v>4</v>
      </c>
      <c r="T75" s="3">
        <v>2</v>
      </c>
      <c r="U75" s="3">
        <v>3</v>
      </c>
      <c r="V75" s="3">
        <v>4</v>
      </c>
      <c r="W75" s="3">
        <v>2</v>
      </c>
      <c r="X75" s="3">
        <v>2</v>
      </c>
      <c r="Y75" s="3">
        <v>3</v>
      </c>
      <c r="Z75">
        <f t="shared" si="4"/>
        <v>3</v>
      </c>
      <c r="AA75">
        <f t="shared" si="5"/>
        <v>3.3333333333333335</v>
      </c>
      <c r="AB75">
        <f t="shared" si="6"/>
        <v>4.25</v>
      </c>
    </row>
    <row r="76" spans="1:28" x14ac:dyDescent="0.35">
      <c r="A76" s="2" t="s">
        <v>25</v>
      </c>
      <c r="B76" s="2" t="s">
        <v>53</v>
      </c>
      <c r="C76" s="2" t="s">
        <v>54</v>
      </c>
      <c r="D76" s="2" t="s">
        <v>50</v>
      </c>
      <c r="E76" s="2" t="s">
        <v>57</v>
      </c>
      <c r="F76" s="2">
        <v>4</v>
      </c>
      <c r="G76" s="2">
        <v>4</v>
      </c>
      <c r="H76" s="2">
        <v>3</v>
      </c>
      <c r="I76" s="2">
        <v>4</v>
      </c>
      <c r="J76" s="2">
        <v>5</v>
      </c>
      <c r="K76" s="2">
        <v>3</v>
      </c>
      <c r="L76" s="2">
        <v>4</v>
      </c>
      <c r="M76" s="2">
        <v>2</v>
      </c>
      <c r="N76" s="2">
        <v>4</v>
      </c>
      <c r="O76" s="2">
        <v>4</v>
      </c>
      <c r="P76" s="2">
        <v>4</v>
      </c>
      <c r="Q76" s="2">
        <v>4</v>
      </c>
      <c r="R76" s="2">
        <v>3</v>
      </c>
      <c r="S76" s="2">
        <v>4</v>
      </c>
      <c r="T76" s="2">
        <v>3</v>
      </c>
      <c r="U76" s="2">
        <v>4</v>
      </c>
      <c r="V76" s="2">
        <v>2</v>
      </c>
      <c r="W76" s="2">
        <v>2</v>
      </c>
      <c r="X76" s="2">
        <v>4</v>
      </c>
      <c r="Y76" s="2">
        <v>4</v>
      </c>
      <c r="Z76">
        <f t="shared" si="4"/>
        <v>3.6666666666666665</v>
      </c>
      <c r="AA76">
        <f t="shared" si="5"/>
        <v>4</v>
      </c>
      <c r="AB76">
        <f t="shared" si="6"/>
        <v>3.5</v>
      </c>
    </row>
    <row r="77" spans="1:28" x14ac:dyDescent="0.35">
      <c r="A77" s="3" t="s">
        <v>42</v>
      </c>
      <c r="B77" s="3" t="s">
        <v>43</v>
      </c>
      <c r="C77" s="3" t="s">
        <v>62</v>
      </c>
      <c r="D77" s="3" t="s">
        <v>61</v>
      </c>
      <c r="E77" s="3" t="s">
        <v>51</v>
      </c>
      <c r="F77" s="3">
        <v>4</v>
      </c>
      <c r="G77" s="3">
        <v>2</v>
      </c>
      <c r="H77" s="3">
        <v>3</v>
      </c>
      <c r="I77" s="3">
        <v>3</v>
      </c>
      <c r="J77" s="3">
        <v>3</v>
      </c>
      <c r="K77" s="3">
        <v>5</v>
      </c>
      <c r="L77" s="3">
        <v>2</v>
      </c>
      <c r="M77" s="3">
        <v>5</v>
      </c>
      <c r="N77" s="3">
        <v>3</v>
      </c>
      <c r="O77" s="3">
        <v>2</v>
      </c>
      <c r="P77" s="3">
        <v>5</v>
      </c>
      <c r="Q77" s="3">
        <v>5</v>
      </c>
      <c r="R77" s="3">
        <v>4</v>
      </c>
      <c r="S77" s="3">
        <v>4</v>
      </c>
      <c r="T77" s="3">
        <v>4</v>
      </c>
      <c r="U77" s="3">
        <v>3</v>
      </c>
      <c r="V77" s="3">
        <v>3</v>
      </c>
      <c r="W77" s="3">
        <v>4</v>
      </c>
      <c r="X77" s="3">
        <v>4</v>
      </c>
      <c r="Y77" s="3">
        <v>3</v>
      </c>
      <c r="Z77">
        <f t="shared" si="4"/>
        <v>3</v>
      </c>
      <c r="AA77">
        <f t="shared" si="5"/>
        <v>3.6666666666666665</v>
      </c>
      <c r="AB77">
        <f t="shared" si="6"/>
        <v>3</v>
      </c>
    </row>
    <row r="78" spans="1:28" x14ac:dyDescent="0.35">
      <c r="A78" s="2" t="s">
        <v>35</v>
      </c>
      <c r="B78" s="2" t="s">
        <v>48</v>
      </c>
      <c r="C78" s="2" t="s">
        <v>46</v>
      </c>
      <c r="D78" s="2" t="s">
        <v>52</v>
      </c>
      <c r="E78" s="2" t="s">
        <v>29</v>
      </c>
      <c r="F78" s="2">
        <v>4</v>
      </c>
      <c r="G78" s="2">
        <v>4</v>
      </c>
      <c r="H78" s="2">
        <v>3</v>
      </c>
      <c r="I78" s="2">
        <v>4</v>
      </c>
      <c r="J78" s="2">
        <v>3</v>
      </c>
      <c r="K78" s="2">
        <v>4</v>
      </c>
      <c r="L78" s="2">
        <v>3</v>
      </c>
      <c r="M78" s="2">
        <v>2</v>
      </c>
      <c r="N78" s="2">
        <v>4</v>
      </c>
      <c r="O78" s="2">
        <v>4</v>
      </c>
      <c r="P78" s="2">
        <v>4</v>
      </c>
      <c r="Q78" s="2">
        <v>3</v>
      </c>
      <c r="R78" s="2">
        <v>5</v>
      </c>
      <c r="S78" s="2">
        <v>3</v>
      </c>
      <c r="T78" s="2">
        <v>1</v>
      </c>
      <c r="U78" s="2">
        <v>4</v>
      </c>
      <c r="V78" s="2">
        <v>4</v>
      </c>
      <c r="W78" s="2">
        <v>5</v>
      </c>
      <c r="X78" s="2">
        <v>5</v>
      </c>
      <c r="Y78" s="2">
        <v>1</v>
      </c>
      <c r="Z78">
        <f t="shared" si="4"/>
        <v>3.6666666666666665</v>
      </c>
      <c r="AA78">
        <f t="shared" si="5"/>
        <v>3.6666666666666665</v>
      </c>
      <c r="AB78">
        <f t="shared" si="6"/>
        <v>3.25</v>
      </c>
    </row>
    <row r="79" spans="1:28" x14ac:dyDescent="0.35">
      <c r="A79" s="3" t="s">
        <v>42</v>
      </c>
      <c r="B79" s="3" t="s">
        <v>36</v>
      </c>
      <c r="C79" s="3" t="s">
        <v>54</v>
      </c>
      <c r="D79" s="3" t="s">
        <v>38</v>
      </c>
      <c r="E79" s="3" t="s">
        <v>57</v>
      </c>
      <c r="F79" s="3">
        <v>3</v>
      </c>
      <c r="G79" s="3">
        <v>2</v>
      </c>
      <c r="H79" s="3">
        <v>4</v>
      </c>
      <c r="I79" s="3">
        <v>4</v>
      </c>
      <c r="J79" s="3">
        <v>5</v>
      </c>
      <c r="K79" s="3">
        <v>2</v>
      </c>
      <c r="L79" s="3">
        <v>3</v>
      </c>
      <c r="M79" s="3">
        <v>5</v>
      </c>
      <c r="N79" s="3">
        <v>4</v>
      </c>
      <c r="O79" s="3">
        <v>1</v>
      </c>
      <c r="P79" s="3">
        <v>3</v>
      </c>
      <c r="Q79" s="3">
        <v>4</v>
      </c>
      <c r="R79" s="3">
        <v>2</v>
      </c>
      <c r="S79" s="3">
        <v>3</v>
      </c>
      <c r="T79" s="3">
        <v>5</v>
      </c>
      <c r="U79" s="3">
        <v>4</v>
      </c>
      <c r="V79" s="3">
        <v>4</v>
      </c>
      <c r="W79" s="3">
        <v>4</v>
      </c>
      <c r="X79" s="3">
        <v>5</v>
      </c>
      <c r="Y79" s="3">
        <v>5</v>
      </c>
      <c r="Z79">
        <f t="shared" si="4"/>
        <v>3</v>
      </c>
      <c r="AA79">
        <f t="shared" si="5"/>
        <v>3.6666666666666665</v>
      </c>
      <c r="AB79">
        <f t="shared" si="6"/>
        <v>3.25</v>
      </c>
    </row>
    <row r="80" spans="1:28" x14ac:dyDescent="0.35">
      <c r="A80" s="2" t="s">
        <v>42</v>
      </c>
      <c r="B80" s="2" t="s">
        <v>26</v>
      </c>
      <c r="C80" s="2" t="s">
        <v>54</v>
      </c>
      <c r="D80" s="2" t="s">
        <v>58</v>
      </c>
      <c r="E80" s="2" t="s">
        <v>29</v>
      </c>
      <c r="F80" s="2">
        <v>3</v>
      </c>
      <c r="G80" s="2">
        <v>4</v>
      </c>
      <c r="H80" s="2">
        <v>5</v>
      </c>
      <c r="I80" s="2">
        <v>4</v>
      </c>
      <c r="J80" s="2">
        <v>3</v>
      </c>
      <c r="K80" s="2">
        <v>4</v>
      </c>
      <c r="L80" s="2">
        <v>4</v>
      </c>
      <c r="M80" s="2">
        <v>1</v>
      </c>
      <c r="N80" s="2">
        <v>5</v>
      </c>
      <c r="O80" s="2">
        <v>4</v>
      </c>
      <c r="P80" s="2">
        <v>5</v>
      </c>
      <c r="Q80" s="2">
        <v>5</v>
      </c>
      <c r="R80" s="2">
        <v>4</v>
      </c>
      <c r="S80" s="2">
        <v>2</v>
      </c>
      <c r="T80" s="2">
        <v>5</v>
      </c>
      <c r="U80" s="2">
        <v>5</v>
      </c>
      <c r="V80" s="2">
        <v>4</v>
      </c>
      <c r="W80" s="2">
        <v>2</v>
      </c>
      <c r="X80" s="2">
        <v>3</v>
      </c>
      <c r="Y80" s="2">
        <v>3</v>
      </c>
      <c r="Z80">
        <f t="shared" si="4"/>
        <v>4</v>
      </c>
      <c r="AA80">
        <f t="shared" si="5"/>
        <v>3.6666666666666665</v>
      </c>
      <c r="AB80">
        <f t="shared" si="6"/>
        <v>3.5</v>
      </c>
    </row>
    <row r="81" spans="1:28" x14ac:dyDescent="0.35">
      <c r="A81" s="3" t="s">
        <v>42</v>
      </c>
      <c r="B81" s="3" t="s">
        <v>36</v>
      </c>
      <c r="C81" s="3" t="s">
        <v>55</v>
      </c>
      <c r="D81" s="3" t="s">
        <v>45</v>
      </c>
      <c r="E81" s="3" t="s">
        <v>39</v>
      </c>
      <c r="F81" s="3">
        <v>4</v>
      </c>
      <c r="G81" s="3">
        <v>2</v>
      </c>
      <c r="H81" s="3">
        <v>4</v>
      </c>
      <c r="I81" s="3">
        <v>4</v>
      </c>
      <c r="J81" s="3">
        <v>2</v>
      </c>
      <c r="K81" s="3">
        <v>3</v>
      </c>
      <c r="L81" s="3">
        <v>2</v>
      </c>
      <c r="M81" s="3">
        <v>5</v>
      </c>
      <c r="N81" s="3">
        <v>4</v>
      </c>
      <c r="O81" s="3">
        <v>1</v>
      </c>
      <c r="P81" s="3">
        <v>4</v>
      </c>
      <c r="Q81" s="3">
        <v>4</v>
      </c>
      <c r="R81" s="3">
        <v>2</v>
      </c>
      <c r="S81" s="3">
        <v>4</v>
      </c>
      <c r="T81" s="3">
        <v>2</v>
      </c>
      <c r="U81" s="3">
        <v>1</v>
      </c>
      <c r="V81" s="3">
        <v>4</v>
      </c>
      <c r="W81" s="3">
        <v>4</v>
      </c>
      <c r="X81" s="3">
        <v>4</v>
      </c>
      <c r="Y81" s="3">
        <v>2</v>
      </c>
      <c r="Z81">
        <f t="shared" si="4"/>
        <v>3.3333333333333335</v>
      </c>
      <c r="AA81">
        <f t="shared" si="5"/>
        <v>3</v>
      </c>
      <c r="AB81">
        <f t="shared" si="6"/>
        <v>3</v>
      </c>
    </row>
    <row r="82" spans="1:28" x14ac:dyDescent="0.35">
      <c r="A82" s="2" t="s">
        <v>42</v>
      </c>
      <c r="B82" s="2" t="s">
        <v>53</v>
      </c>
      <c r="C82" s="2" t="s">
        <v>54</v>
      </c>
      <c r="D82" s="2" t="s">
        <v>58</v>
      </c>
      <c r="E82" s="2" t="s">
        <v>51</v>
      </c>
      <c r="F82" s="2">
        <v>3</v>
      </c>
      <c r="G82" s="2">
        <v>5</v>
      </c>
      <c r="H82" s="2">
        <v>4</v>
      </c>
      <c r="I82" s="2">
        <v>4</v>
      </c>
      <c r="J82" s="2">
        <v>4</v>
      </c>
      <c r="K82" s="2">
        <v>5</v>
      </c>
      <c r="L82" s="2">
        <v>3</v>
      </c>
      <c r="M82" s="2">
        <v>4</v>
      </c>
      <c r="N82" s="2">
        <v>5</v>
      </c>
      <c r="O82" s="2">
        <v>4</v>
      </c>
      <c r="P82" s="2">
        <v>3</v>
      </c>
      <c r="Q82" s="2">
        <v>5</v>
      </c>
      <c r="R82" s="2">
        <v>1</v>
      </c>
      <c r="S82" s="2">
        <v>4</v>
      </c>
      <c r="T82" s="2">
        <v>2</v>
      </c>
      <c r="U82" s="2">
        <v>5</v>
      </c>
      <c r="V82" s="2">
        <v>4</v>
      </c>
      <c r="W82" s="2">
        <v>4</v>
      </c>
      <c r="X82" s="2">
        <v>4</v>
      </c>
      <c r="Y82" s="2">
        <v>5</v>
      </c>
      <c r="Z82">
        <f t="shared" si="4"/>
        <v>4</v>
      </c>
      <c r="AA82">
        <f t="shared" si="5"/>
        <v>4.333333333333333</v>
      </c>
      <c r="AB82">
        <f t="shared" si="6"/>
        <v>4</v>
      </c>
    </row>
    <row r="83" spans="1:28" x14ac:dyDescent="0.35">
      <c r="A83" s="3" t="s">
        <v>42</v>
      </c>
      <c r="B83" s="3" t="s">
        <v>43</v>
      </c>
      <c r="C83" s="3" t="s">
        <v>44</v>
      </c>
      <c r="D83" s="3" t="s">
        <v>52</v>
      </c>
      <c r="E83" s="3" t="s">
        <v>41</v>
      </c>
      <c r="F83" s="3">
        <v>5</v>
      </c>
      <c r="G83" s="3">
        <v>5</v>
      </c>
      <c r="H83" s="3">
        <v>5</v>
      </c>
      <c r="I83" s="3">
        <v>3</v>
      </c>
      <c r="J83" s="3">
        <v>2</v>
      </c>
      <c r="K83" s="3">
        <v>4</v>
      </c>
      <c r="L83" s="3">
        <v>4</v>
      </c>
      <c r="M83" s="3">
        <v>3</v>
      </c>
      <c r="N83" s="3">
        <v>1</v>
      </c>
      <c r="O83" s="3">
        <v>3</v>
      </c>
      <c r="P83" s="3">
        <v>2</v>
      </c>
      <c r="Q83" s="3">
        <v>4</v>
      </c>
      <c r="R83" s="3">
        <v>2</v>
      </c>
      <c r="S83" s="3">
        <v>5</v>
      </c>
      <c r="T83" s="3">
        <v>4</v>
      </c>
      <c r="U83" s="3">
        <v>2</v>
      </c>
      <c r="V83" s="3">
        <v>5</v>
      </c>
      <c r="W83" s="3">
        <v>5</v>
      </c>
      <c r="X83" s="3">
        <v>5</v>
      </c>
      <c r="Y83" s="3">
        <v>5</v>
      </c>
      <c r="Z83">
        <f t="shared" si="4"/>
        <v>5</v>
      </c>
      <c r="AA83">
        <f t="shared" si="5"/>
        <v>3</v>
      </c>
      <c r="AB83">
        <f t="shared" si="6"/>
        <v>2.75</v>
      </c>
    </row>
    <row r="84" spans="1:28" x14ac:dyDescent="0.35">
      <c r="A84" s="2" t="s">
        <v>35</v>
      </c>
      <c r="B84" s="2" t="s">
        <v>43</v>
      </c>
      <c r="C84" s="2" t="s">
        <v>55</v>
      </c>
      <c r="D84" s="2" t="s">
        <v>56</v>
      </c>
      <c r="E84" s="2" t="s">
        <v>57</v>
      </c>
      <c r="F84" s="2">
        <v>3</v>
      </c>
      <c r="G84" s="2">
        <v>5</v>
      </c>
      <c r="H84" s="2">
        <v>4</v>
      </c>
      <c r="I84" s="2">
        <v>5</v>
      </c>
      <c r="J84" s="2">
        <v>2</v>
      </c>
      <c r="K84" s="2">
        <v>4</v>
      </c>
      <c r="L84" s="2">
        <v>5</v>
      </c>
      <c r="M84" s="2">
        <v>3</v>
      </c>
      <c r="N84" s="2">
        <v>4</v>
      </c>
      <c r="O84" s="2">
        <v>2</v>
      </c>
      <c r="P84" s="2">
        <v>5</v>
      </c>
      <c r="Q84" s="2">
        <v>3</v>
      </c>
      <c r="R84" s="2">
        <v>2</v>
      </c>
      <c r="S84" s="2">
        <v>2</v>
      </c>
      <c r="T84" s="2">
        <v>4</v>
      </c>
      <c r="U84" s="2">
        <v>5</v>
      </c>
      <c r="V84" s="2">
        <v>4</v>
      </c>
      <c r="W84" s="2">
        <v>5</v>
      </c>
      <c r="X84" s="2">
        <v>4</v>
      </c>
      <c r="Y84" s="2">
        <v>5</v>
      </c>
      <c r="Z84">
        <f t="shared" si="4"/>
        <v>4</v>
      </c>
      <c r="AA84">
        <f t="shared" si="5"/>
        <v>3.6666666666666665</v>
      </c>
      <c r="AB84">
        <f t="shared" si="6"/>
        <v>3.5</v>
      </c>
    </row>
    <row r="85" spans="1:28" x14ac:dyDescent="0.35">
      <c r="A85" s="3" t="s">
        <v>35</v>
      </c>
      <c r="B85" s="3" t="s">
        <v>43</v>
      </c>
      <c r="C85" s="3" t="s">
        <v>60</v>
      </c>
      <c r="D85" s="3" t="s">
        <v>45</v>
      </c>
      <c r="E85" s="3" t="s">
        <v>51</v>
      </c>
      <c r="F85" s="3">
        <v>4</v>
      </c>
      <c r="G85" s="3">
        <v>5</v>
      </c>
      <c r="H85" s="3">
        <v>4</v>
      </c>
      <c r="I85" s="3">
        <v>3</v>
      </c>
      <c r="J85" s="3">
        <v>4</v>
      </c>
      <c r="K85" s="3">
        <v>2</v>
      </c>
      <c r="L85" s="3">
        <v>5</v>
      </c>
      <c r="M85" s="3">
        <v>4</v>
      </c>
      <c r="N85" s="3">
        <v>4</v>
      </c>
      <c r="O85" s="3">
        <v>4</v>
      </c>
      <c r="P85" s="3">
        <v>2</v>
      </c>
      <c r="Q85" s="3">
        <v>5</v>
      </c>
      <c r="R85" s="3">
        <v>3</v>
      </c>
      <c r="S85" s="3">
        <v>4</v>
      </c>
      <c r="T85" s="3">
        <v>4</v>
      </c>
      <c r="U85" s="3">
        <v>5</v>
      </c>
      <c r="V85" s="3">
        <v>4</v>
      </c>
      <c r="W85" s="3">
        <v>4</v>
      </c>
      <c r="X85" s="3">
        <v>4</v>
      </c>
      <c r="Y85" s="3">
        <v>4</v>
      </c>
      <c r="Z85">
        <f t="shared" si="4"/>
        <v>4.333333333333333</v>
      </c>
      <c r="AA85">
        <f t="shared" si="5"/>
        <v>3</v>
      </c>
      <c r="AB85">
        <f t="shared" si="6"/>
        <v>4.25</v>
      </c>
    </row>
    <row r="86" spans="1:28" x14ac:dyDescent="0.35">
      <c r="A86" s="2" t="s">
        <v>25</v>
      </c>
      <c r="B86" s="2" t="s">
        <v>43</v>
      </c>
      <c r="C86" s="2" t="s">
        <v>44</v>
      </c>
      <c r="D86" s="2" t="s">
        <v>61</v>
      </c>
      <c r="E86" s="2" t="s">
        <v>51</v>
      </c>
      <c r="F86" s="2">
        <v>4</v>
      </c>
      <c r="G86" s="2">
        <v>2</v>
      </c>
      <c r="H86" s="2">
        <v>4</v>
      </c>
      <c r="I86" s="2">
        <v>5</v>
      </c>
      <c r="J86" s="2">
        <v>4</v>
      </c>
      <c r="K86" s="2">
        <v>4</v>
      </c>
      <c r="L86" s="2">
        <v>4</v>
      </c>
      <c r="M86" s="2">
        <v>5</v>
      </c>
      <c r="N86" s="2">
        <v>4</v>
      </c>
      <c r="O86" s="2">
        <v>3</v>
      </c>
      <c r="P86" s="2">
        <v>3</v>
      </c>
      <c r="Q86" s="2">
        <v>5</v>
      </c>
      <c r="R86" s="2">
        <v>4</v>
      </c>
      <c r="S86" s="2">
        <v>4</v>
      </c>
      <c r="T86" s="2">
        <v>5</v>
      </c>
      <c r="U86" s="2">
        <v>1</v>
      </c>
      <c r="V86" s="2">
        <v>5</v>
      </c>
      <c r="W86" s="2">
        <v>5</v>
      </c>
      <c r="X86" s="2">
        <v>4</v>
      </c>
      <c r="Y86" s="2">
        <v>5</v>
      </c>
      <c r="Z86">
        <f t="shared" si="4"/>
        <v>3.3333333333333335</v>
      </c>
      <c r="AA86">
        <f t="shared" si="5"/>
        <v>4.333333333333333</v>
      </c>
      <c r="AB86">
        <f t="shared" si="6"/>
        <v>4</v>
      </c>
    </row>
    <row r="87" spans="1:28" x14ac:dyDescent="0.35">
      <c r="A87" s="3" t="s">
        <v>42</v>
      </c>
      <c r="B87" s="3" t="s">
        <v>26</v>
      </c>
      <c r="C87" s="3" t="s">
        <v>49</v>
      </c>
      <c r="D87" s="3" t="s">
        <v>47</v>
      </c>
      <c r="E87" s="3" t="s">
        <v>39</v>
      </c>
      <c r="F87" s="3">
        <v>3</v>
      </c>
      <c r="G87" s="3">
        <v>5</v>
      </c>
      <c r="H87" s="3">
        <v>4</v>
      </c>
      <c r="I87" s="3">
        <v>3</v>
      </c>
      <c r="J87" s="3">
        <v>4</v>
      </c>
      <c r="K87" s="3">
        <v>5</v>
      </c>
      <c r="L87" s="3">
        <v>2</v>
      </c>
      <c r="M87" s="3">
        <v>1</v>
      </c>
      <c r="N87" s="3">
        <v>4</v>
      </c>
      <c r="O87" s="3">
        <v>2</v>
      </c>
      <c r="P87" s="3">
        <v>2</v>
      </c>
      <c r="Q87" s="3">
        <v>4</v>
      </c>
      <c r="R87" s="3">
        <v>3</v>
      </c>
      <c r="S87" s="3">
        <v>3</v>
      </c>
      <c r="T87" s="3">
        <v>5</v>
      </c>
      <c r="U87" s="3">
        <v>5</v>
      </c>
      <c r="V87" s="3">
        <v>3</v>
      </c>
      <c r="W87" s="3">
        <v>1</v>
      </c>
      <c r="X87" s="3">
        <v>4</v>
      </c>
      <c r="Y87" s="3">
        <v>5</v>
      </c>
      <c r="Z87">
        <f t="shared" si="4"/>
        <v>4</v>
      </c>
      <c r="AA87">
        <f t="shared" si="5"/>
        <v>4</v>
      </c>
      <c r="AB87">
        <f t="shared" si="6"/>
        <v>2.25</v>
      </c>
    </row>
    <row r="88" spans="1:28" x14ac:dyDescent="0.35">
      <c r="A88" s="2" t="s">
        <v>25</v>
      </c>
      <c r="B88" s="2" t="s">
        <v>53</v>
      </c>
      <c r="C88" s="2" t="s">
        <v>46</v>
      </c>
      <c r="D88" s="2" t="s">
        <v>61</v>
      </c>
      <c r="E88" s="2" t="s">
        <v>41</v>
      </c>
      <c r="F88" s="2">
        <v>5</v>
      </c>
      <c r="G88" s="2">
        <v>1</v>
      </c>
      <c r="H88" s="2">
        <v>5</v>
      </c>
      <c r="I88" s="2">
        <v>2</v>
      </c>
      <c r="J88" s="2">
        <v>4</v>
      </c>
      <c r="K88" s="2">
        <v>4</v>
      </c>
      <c r="L88" s="2">
        <v>4</v>
      </c>
      <c r="M88" s="2">
        <v>5</v>
      </c>
      <c r="N88" s="2">
        <v>4</v>
      </c>
      <c r="O88" s="2">
        <v>3</v>
      </c>
      <c r="P88" s="2">
        <v>3</v>
      </c>
      <c r="Q88" s="2">
        <v>4</v>
      </c>
      <c r="R88" s="2">
        <v>2</v>
      </c>
      <c r="S88" s="2">
        <v>2</v>
      </c>
      <c r="T88" s="2">
        <v>4</v>
      </c>
      <c r="U88" s="2">
        <v>5</v>
      </c>
      <c r="V88" s="2">
        <v>2</v>
      </c>
      <c r="W88" s="2">
        <v>4</v>
      </c>
      <c r="X88" s="2">
        <v>3</v>
      </c>
      <c r="Y88" s="2">
        <v>5</v>
      </c>
      <c r="Z88">
        <f t="shared" si="4"/>
        <v>3.6666666666666665</v>
      </c>
      <c r="AA88">
        <f t="shared" si="5"/>
        <v>3.3333333333333335</v>
      </c>
      <c r="AB88">
        <f t="shared" si="6"/>
        <v>4</v>
      </c>
    </row>
    <row r="89" spans="1:28" x14ac:dyDescent="0.35">
      <c r="A89" s="3" t="s">
        <v>25</v>
      </c>
      <c r="B89" s="3" t="s">
        <v>48</v>
      </c>
      <c r="C89" s="3" t="s">
        <v>60</v>
      </c>
      <c r="D89" s="3" t="s">
        <v>56</v>
      </c>
      <c r="E89" s="3" t="s">
        <v>51</v>
      </c>
      <c r="F89" s="3">
        <v>5</v>
      </c>
      <c r="G89" s="3">
        <v>4</v>
      </c>
      <c r="H89" s="3">
        <v>4</v>
      </c>
      <c r="I89" s="3">
        <v>5</v>
      </c>
      <c r="J89" s="3">
        <v>5</v>
      </c>
      <c r="K89" s="3">
        <v>4</v>
      </c>
      <c r="L89" s="3">
        <v>4</v>
      </c>
      <c r="M89" s="3">
        <v>5</v>
      </c>
      <c r="N89" s="3">
        <v>3</v>
      </c>
      <c r="O89" s="3">
        <v>4</v>
      </c>
      <c r="P89" s="3">
        <v>5</v>
      </c>
      <c r="Q89" s="3">
        <v>4</v>
      </c>
      <c r="R89" s="3">
        <v>4</v>
      </c>
      <c r="S89" s="3">
        <v>4</v>
      </c>
      <c r="T89" s="3">
        <v>4</v>
      </c>
      <c r="U89" s="3">
        <v>5</v>
      </c>
      <c r="V89" s="3">
        <v>3</v>
      </c>
      <c r="W89" s="3">
        <v>4</v>
      </c>
      <c r="X89" s="3">
        <v>3</v>
      </c>
      <c r="Y89" s="3">
        <v>4</v>
      </c>
      <c r="Z89">
        <f t="shared" si="4"/>
        <v>4.333333333333333</v>
      </c>
      <c r="AA89">
        <f t="shared" si="5"/>
        <v>4.666666666666667</v>
      </c>
      <c r="AB89">
        <f t="shared" si="6"/>
        <v>4</v>
      </c>
    </row>
    <row r="90" spans="1:28" x14ac:dyDescent="0.35">
      <c r="A90" s="2" t="s">
        <v>42</v>
      </c>
      <c r="B90" s="2" t="s">
        <v>26</v>
      </c>
      <c r="C90" s="2" t="s">
        <v>60</v>
      </c>
      <c r="D90" s="2" t="s">
        <v>47</v>
      </c>
      <c r="E90" s="2" t="s">
        <v>57</v>
      </c>
      <c r="F90" s="2">
        <v>3</v>
      </c>
      <c r="G90" s="2">
        <v>5</v>
      </c>
      <c r="H90" s="2">
        <v>3</v>
      </c>
      <c r="I90" s="2">
        <v>4</v>
      </c>
      <c r="J90" s="2">
        <v>1</v>
      </c>
      <c r="K90" s="2">
        <v>4</v>
      </c>
      <c r="L90" s="2">
        <v>4</v>
      </c>
      <c r="M90" s="2">
        <v>4</v>
      </c>
      <c r="N90" s="2">
        <v>4</v>
      </c>
      <c r="O90" s="2">
        <v>4</v>
      </c>
      <c r="P90" s="2">
        <v>4</v>
      </c>
      <c r="Q90" s="2">
        <v>4</v>
      </c>
      <c r="R90" s="2">
        <v>4</v>
      </c>
      <c r="S90" s="2">
        <v>3</v>
      </c>
      <c r="T90" s="2">
        <v>2</v>
      </c>
      <c r="U90" s="2">
        <v>5</v>
      </c>
      <c r="V90" s="2">
        <v>3</v>
      </c>
      <c r="W90" s="2">
        <v>5</v>
      </c>
      <c r="X90" s="2">
        <v>4</v>
      </c>
      <c r="Y90" s="2">
        <v>5</v>
      </c>
      <c r="Z90">
        <f t="shared" si="4"/>
        <v>3.6666666666666665</v>
      </c>
      <c r="AA90">
        <f t="shared" si="5"/>
        <v>3</v>
      </c>
      <c r="AB90">
        <f t="shared" si="6"/>
        <v>4</v>
      </c>
    </row>
    <row r="91" spans="1:28" x14ac:dyDescent="0.35">
      <c r="A91" s="3" t="s">
        <v>25</v>
      </c>
      <c r="B91" s="3" t="s">
        <v>26</v>
      </c>
      <c r="C91" s="3" t="s">
        <v>46</v>
      </c>
      <c r="D91" s="3" t="s">
        <v>47</v>
      </c>
      <c r="E91" s="3" t="s">
        <v>29</v>
      </c>
      <c r="F91" s="3">
        <v>4</v>
      </c>
      <c r="G91" s="3">
        <v>5</v>
      </c>
      <c r="H91" s="3">
        <v>5</v>
      </c>
      <c r="I91" s="3">
        <v>5</v>
      </c>
      <c r="J91" s="3">
        <v>3</v>
      </c>
      <c r="K91" s="3">
        <v>4</v>
      </c>
      <c r="L91" s="3">
        <v>4</v>
      </c>
      <c r="M91" s="3">
        <v>3</v>
      </c>
      <c r="N91" s="3">
        <v>4</v>
      </c>
      <c r="O91" s="3">
        <v>4</v>
      </c>
      <c r="P91" s="3">
        <v>2</v>
      </c>
      <c r="Q91" s="3">
        <v>4</v>
      </c>
      <c r="R91" s="3">
        <v>5</v>
      </c>
      <c r="S91" s="3">
        <v>3</v>
      </c>
      <c r="T91" s="3">
        <v>2</v>
      </c>
      <c r="U91" s="3">
        <v>3</v>
      </c>
      <c r="V91" s="3">
        <v>4</v>
      </c>
      <c r="W91" s="3">
        <v>2</v>
      </c>
      <c r="X91" s="3">
        <v>5</v>
      </c>
      <c r="Y91" s="3">
        <v>2</v>
      </c>
      <c r="Z91">
        <f t="shared" si="4"/>
        <v>4.666666666666667</v>
      </c>
      <c r="AA91">
        <f t="shared" si="5"/>
        <v>4</v>
      </c>
      <c r="AB91">
        <f t="shared" si="6"/>
        <v>3.75</v>
      </c>
    </row>
    <row r="92" spans="1:28" x14ac:dyDescent="0.35">
      <c r="A92" s="2" t="s">
        <v>42</v>
      </c>
      <c r="B92" s="2" t="s">
        <v>43</v>
      </c>
      <c r="C92" s="2" t="s">
        <v>37</v>
      </c>
      <c r="D92" s="2" t="s">
        <v>45</v>
      </c>
      <c r="E92" s="2" t="s">
        <v>51</v>
      </c>
      <c r="F92" s="2">
        <v>4</v>
      </c>
      <c r="G92" s="2">
        <v>4</v>
      </c>
      <c r="H92" s="2">
        <v>2</v>
      </c>
      <c r="I92" s="2">
        <v>1</v>
      </c>
      <c r="J92" s="2">
        <v>5</v>
      </c>
      <c r="K92" s="2">
        <v>4</v>
      </c>
      <c r="L92" s="2">
        <v>3</v>
      </c>
      <c r="M92" s="2">
        <v>3</v>
      </c>
      <c r="N92" s="2">
        <v>4</v>
      </c>
      <c r="O92" s="2">
        <v>4</v>
      </c>
      <c r="P92" s="2">
        <v>4</v>
      </c>
      <c r="Q92" s="2">
        <v>4</v>
      </c>
      <c r="R92" s="2">
        <v>1</v>
      </c>
      <c r="S92" s="2">
        <v>2</v>
      </c>
      <c r="T92" s="2">
        <v>3</v>
      </c>
      <c r="U92" s="2">
        <v>4</v>
      </c>
      <c r="V92" s="2">
        <v>4</v>
      </c>
      <c r="W92" s="2">
        <v>1</v>
      </c>
      <c r="X92" s="2">
        <v>4</v>
      </c>
      <c r="Y92" s="2">
        <v>5</v>
      </c>
      <c r="Z92">
        <f t="shared" si="4"/>
        <v>3.3333333333333335</v>
      </c>
      <c r="AA92">
        <f t="shared" si="5"/>
        <v>3.3333333333333335</v>
      </c>
      <c r="AB92">
        <f t="shared" si="6"/>
        <v>3.5</v>
      </c>
    </row>
    <row r="93" spans="1:28" x14ac:dyDescent="0.35">
      <c r="A93" s="3" t="s">
        <v>35</v>
      </c>
      <c r="B93" s="3" t="s">
        <v>36</v>
      </c>
      <c r="C93" s="3" t="s">
        <v>27</v>
      </c>
      <c r="D93" s="3" t="s">
        <v>58</v>
      </c>
      <c r="E93" s="3" t="s">
        <v>41</v>
      </c>
      <c r="F93" s="3">
        <v>3</v>
      </c>
      <c r="G93" s="3">
        <v>4</v>
      </c>
      <c r="H93" s="3">
        <v>3</v>
      </c>
      <c r="I93" s="3">
        <v>4</v>
      </c>
      <c r="J93" s="3">
        <v>4</v>
      </c>
      <c r="K93" s="3">
        <v>2</v>
      </c>
      <c r="L93" s="3">
        <v>4</v>
      </c>
      <c r="M93" s="3">
        <v>5</v>
      </c>
      <c r="N93" s="3">
        <v>4</v>
      </c>
      <c r="O93" s="3">
        <v>4</v>
      </c>
      <c r="P93" s="3">
        <v>2</v>
      </c>
      <c r="Q93" s="3">
        <v>5</v>
      </c>
      <c r="R93" s="3">
        <v>4</v>
      </c>
      <c r="S93" s="3">
        <v>5</v>
      </c>
      <c r="T93" s="3">
        <v>4</v>
      </c>
      <c r="U93" s="3">
        <v>5</v>
      </c>
      <c r="V93" s="3">
        <v>1</v>
      </c>
      <c r="W93" s="3">
        <v>3</v>
      </c>
      <c r="X93" s="3">
        <v>3</v>
      </c>
      <c r="Y93" s="3">
        <v>1</v>
      </c>
      <c r="Z93">
        <f t="shared" si="4"/>
        <v>3.3333333333333335</v>
      </c>
      <c r="AA93">
        <f t="shared" si="5"/>
        <v>3.3333333333333335</v>
      </c>
      <c r="AB93">
        <f t="shared" si="6"/>
        <v>4.25</v>
      </c>
    </row>
    <row r="94" spans="1:28" x14ac:dyDescent="0.35">
      <c r="A94" s="2" t="s">
        <v>42</v>
      </c>
      <c r="B94" s="2" t="s">
        <v>43</v>
      </c>
      <c r="C94" s="2" t="s">
        <v>27</v>
      </c>
      <c r="D94" s="2" t="s">
        <v>38</v>
      </c>
      <c r="E94" s="2" t="s">
        <v>57</v>
      </c>
      <c r="F94" s="2">
        <v>4</v>
      </c>
      <c r="G94" s="2">
        <v>4</v>
      </c>
      <c r="H94" s="2">
        <v>3</v>
      </c>
      <c r="I94" s="2">
        <v>3</v>
      </c>
      <c r="J94" s="2">
        <v>4</v>
      </c>
      <c r="K94" s="2">
        <v>2</v>
      </c>
      <c r="L94" s="2">
        <v>3</v>
      </c>
      <c r="M94" s="2">
        <v>5</v>
      </c>
      <c r="N94" s="2">
        <v>5</v>
      </c>
      <c r="O94" s="2">
        <v>3</v>
      </c>
      <c r="P94" s="2">
        <v>4</v>
      </c>
      <c r="Q94" s="2">
        <v>4</v>
      </c>
      <c r="R94" s="2">
        <v>4</v>
      </c>
      <c r="S94" s="2">
        <v>4</v>
      </c>
      <c r="T94" s="2">
        <v>2</v>
      </c>
      <c r="U94" s="2">
        <v>3</v>
      </c>
      <c r="V94" s="2">
        <v>4</v>
      </c>
      <c r="W94" s="2">
        <v>5</v>
      </c>
      <c r="X94" s="2">
        <v>4</v>
      </c>
      <c r="Y94" s="2">
        <v>5</v>
      </c>
      <c r="Z94">
        <f t="shared" si="4"/>
        <v>3.6666666666666665</v>
      </c>
      <c r="AA94">
        <f t="shared" si="5"/>
        <v>3</v>
      </c>
      <c r="AB94">
        <f t="shared" si="6"/>
        <v>4</v>
      </c>
    </row>
    <row r="95" spans="1:28" x14ac:dyDescent="0.35">
      <c r="A95" s="3" t="s">
        <v>35</v>
      </c>
      <c r="B95" s="3" t="s">
        <v>48</v>
      </c>
      <c r="C95" s="3" t="s">
        <v>62</v>
      </c>
      <c r="D95" s="3" t="s">
        <v>38</v>
      </c>
      <c r="E95" s="3" t="s">
        <v>39</v>
      </c>
      <c r="F95" s="3">
        <v>3</v>
      </c>
      <c r="G95" s="3">
        <v>5</v>
      </c>
      <c r="H95" s="3">
        <v>4</v>
      </c>
      <c r="I95" s="3">
        <v>4</v>
      </c>
      <c r="J95" s="3">
        <v>5</v>
      </c>
      <c r="K95" s="3">
        <v>5</v>
      </c>
      <c r="L95" s="3">
        <v>4</v>
      </c>
      <c r="M95" s="3">
        <v>2</v>
      </c>
      <c r="N95" s="3">
        <v>4</v>
      </c>
      <c r="O95" s="3">
        <v>4</v>
      </c>
      <c r="P95" s="3">
        <v>1</v>
      </c>
      <c r="Q95" s="3">
        <v>1</v>
      </c>
      <c r="R95" s="3">
        <v>3</v>
      </c>
      <c r="S95" s="3">
        <v>5</v>
      </c>
      <c r="T95" s="3">
        <v>4</v>
      </c>
      <c r="U95" s="3">
        <v>5</v>
      </c>
      <c r="V95" s="3">
        <v>2</v>
      </c>
      <c r="W95" s="3">
        <v>2</v>
      </c>
      <c r="X95" s="3">
        <v>2</v>
      </c>
      <c r="Y95" s="3">
        <v>3</v>
      </c>
      <c r="Z95">
        <f t="shared" si="4"/>
        <v>4</v>
      </c>
      <c r="AA95">
        <f t="shared" si="5"/>
        <v>4.666666666666667</v>
      </c>
      <c r="AB95">
        <f t="shared" si="6"/>
        <v>3.5</v>
      </c>
    </row>
    <row r="96" spans="1:28" x14ac:dyDescent="0.35">
      <c r="A96" s="2" t="s">
        <v>25</v>
      </c>
      <c r="B96" s="2" t="s">
        <v>48</v>
      </c>
      <c r="C96" s="2" t="s">
        <v>44</v>
      </c>
      <c r="D96" s="2" t="s">
        <v>58</v>
      </c>
      <c r="E96" s="2" t="s">
        <v>57</v>
      </c>
      <c r="F96" s="2">
        <v>1</v>
      </c>
      <c r="G96" s="2">
        <v>3</v>
      </c>
      <c r="H96" s="2">
        <v>5</v>
      </c>
      <c r="I96" s="2">
        <v>1</v>
      </c>
      <c r="J96" s="2">
        <v>4</v>
      </c>
      <c r="K96" s="2">
        <v>2</v>
      </c>
      <c r="L96" s="2">
        <v>4</v>
      </c>
      <c r="M96" s="2">
        <v>3</v>
      </c>
      <c r="N96" s="2">
        <v>3</v>
      </c>
      <c r="O96" s="2">
        <v>4</v>
      </c>
      <c r="P96" s="2">
        <v>2</v>
      </c>
      <c r="Q96" s="2">
        <v>5</v>
      </c>
      <c r="R96" s="2">
        <v>2</v>
      </c>
      <c r="S96" s="2">
        <v>1</v>
      </c>
      <c r="T96" s="2">
        <v>3</v>
      </c>
      <c r="U96" s="2">
        <v>5</v>
      </c>
      <c r="V96" s="2">
        <v>1</v>
      </c>
      <c r="W96" s="2">
        <v>3</v>
      </c>
      <c r="X96" s="2">
        <v>2</v>
      </c>
      <c r="Y96" s="2">
        <v>5</v>
      </c>
      <c r="Z96">
        <f t="shared" si="4"/>
        <v>3</v>
      </c>
      <c r="AA96">
        <f t="shared" si="5"/>
        <v>2.3333333333333335</v>
      </c>
      <c r="AB96">
        <f t="shared" si="6"/>
        <v>3.5</v>
      </c>
    </row>
    <row r="97" spans="1:28" x14ac:dyDescent="0.35">
      <c r="A97" s="3" t="s">
        <v>35</v>
      </c>
      <c r="B97" s="3" t="s">
        <v>53</v>
      </c>
      <c r="C97" s="3" t="s">
        <v>27</v>
      </c>
      <c r="D97" s="3" t="s">
        <v>52</v>
      </c>
      <c r="E97" s="3" t="s">
        <v>39</v>
      </c>
      <c r="F97" s="3">
        <v>4</v>
      </c>
      <c r="G97" s="3">
        <v>3</v>
      </c>
      <c r="H97" s="3">
        <v>1</v>
      </c>
      <c r="I97" s="3">
        <v>3</v>
      </c>
      <c r="J97" s="3">
        <v>5</v>
      </c>
      <c r="K97" s="3">
        <v>4</v>
      </c>
      <c r="L97" s="3">
        <v>3</v>
      </c>
      <c r="M97" s="3">
        <v>4</v>
      </c>
      <c r="N97" s="3">
        <v>5</v>
      </c>
      <c r="O97" s="3">
        <v>2</v>
      </c>
      <c r="P97" s="3">
        <v>4</v>
      </c>
      <c r="Q97" s="3">
        <v>5</v>
      </c>
      <c r="R97" s="3">
        <v>2</v>
      </c>
      <c r="S97" s="3">
        <v>2</v>
      </c>
      <c r="T97" s="3">
        <v>4</v>
      </c>
      <c r="U97" s="3">
        <v>5</v>
      </c>
      <c r="V97" s="3">
        <v>5</v>
      </c>
      <c r="W97" s="3">
        <v>5</v>
      </c>
      <c r="X97" s="3">
        <v>3</v>
      </c>
      <c r="Y97" s="3">
        <v>4</v>
      </c>
      <c r="Z97">
        <f t="shared" si="4"/>
        <v>2.6666666666666665</v>
      </c>
      <c r="AA97">
        <f t="shared" si="5"/>
        <v>4</v>
      </c>
      <c r="AB97">
        <f t="shared" si="6"/>
        <v>3.5</v>
      </c>
    </row>
    <row r="98" spans="1:28" x14ac:dyDescent="0.35">
      <c r="A98" s="2" t="s">
        <v>35</v>
      </c>
      <c r="B98" s="2" t="s">
        <v>53</v>
      </c>
      <c r="C98" s="2" t="s">
        <v>55</v>
      </c>
      <c r="D98" s="2" t="s">
        <v>58</v>
      </c>
      <c r="E98" s="2" t="s">
        <v>41</v>
      </c>
      <c r="F98" s="2">
        <v>2</v>
      </c>
      <c r="G98" s="2">
        <v>3</v>
      </c>
      <c r="H98" s="2">
        <v>5</v>
      </c>
      <c r="I98" s="2">
        <v>4</v>
      </c>
      <c r="J98" s="2">
        <v>5</v>
      </c>
      <c r="K98" s="2">
        <v>3</v>
      </c>
      <c r="L98" s="2">
        <v>4</v>
      </c>
      <c r="M98" s="2">
        <v>5</v>
      </c>
      <c r="N98" s="2">
        <v>5</v>
      </c>
      <c r="O98" s="2">
        <v>3</v>
      </c>
      <c r="P98" s="2">
        <v>5</v>
      </c>
      <c r="Q98" s="2">
        <v>5</v>
      </c>
      <c r="R98" s="2">
        <v>2</v>
      </c>
      <c r="S98" s="2">
        <v>4</v>
      </c>
      <c r="T98" s="2">
        <v>4</v>
      </c>
      <c r="U98" s="2">
        <v>2</v>
      </c>
      <c r="V98" s="2">
        <v>5</v>
      </c>
      <c r="W98" s="2">
        <v>4</v>
      </c>
      <c r="X98" s="2">
        <v>4</v>
      </c>
      <c r="Y98" s="2">
        <v>5</v>
      </c>
      <c r="Z98">
        <f t="shared" ref="Z98:Z129" si="7">AVERAGE(F98:H98)</f>
        <v>3.3333333333333335</v>
      </c>
      <c r="AA98">
        <f t="shared" si="5"/>
        <v>4</v>
      </c>
      <c r="AB98">
        <f t="shared" si="6"/>
        <v>4.25</v>
      </c>
    </row>
    <row r="99" spans="1:28" x14ac:dyDescent="0.35">
      <c r="A99" s="3" t="s">
        <v>42</v>
      </c>
      <c r="B99" s="3" t="s">
        <v>53</v>
      </c>
      <c r="C99" s="3" t="s">
        <v>59</v>
      </c>
      <c r="D99" s="3" t="s">
        <v>56</v>
      </c>
      <c r="E99" s="3" t="s">
        <v>51</v>
      </c>
      <c r="F99" s="3">
        <v>3</v>
      </c>
      <c r="G99" s="3">
        <v>4</v>
      </c>
      <c r="H99" s="3">
        <v>5</v>
      </c>
      <c r="I99" s="3">
        <v>1</v>
      </c>
      <c r="J99" s="3">
        <v>4</v>
      </c>
      <c r="K99" s="3">
        <v>4</v>
      </c>
      <c r="L99" s="3">
        <v>5</v>
      </c>
      <c r="M99" s="3">
        <v>2</v>
      </c>
      <c r="N99" s="3">
        <v>5</v>
      </c>
      <c r="O99" s="3">
        <v>2</v>
      </c>
      <c r="P99" s="3">
        <v>4</v>
      </c>
      <c r="Q99" s="3">
        <v>3</v>
      </c>
      <c r="R99" s="3">
        <v>4</v>
      </c>
      <c r="S99" s="3">
        <v>3</v>
      </c>
      <c r="T99" s="3">
        <v>4</v>
      </c>
      <c r="U99" s="3">
        <v>2</v>
      </c>
      <c r="V99" s="3">
        <v>3</v>
      </c>
      <c r="W99" s="3">
        <v>4</v>
      </c>
      <c r="X99" s="3">
        <v>5</v>
      </c>
      <c r="Y99" s="3">
        <v>5</v>
      </c>
      <c r="Z99">
        <f t="shared" si="7"/>
        <v>4</v>
      </c>
      <c r="AA99">
        <f t="shared" si="5"/>
        <v>3</v>
      </c>
      <c r="AB99">
        <f t="shared" si="6"/>
        <v>3.5</v>
      </c>
    </row>
    <row r="100" spans="1:28" x14ac:dyDescent="0.35">
      <c r="A100" s="2" t="s">
        <v>35</v>
      </c>
      <c r="B100" s="2" t="s">
        <v>53</v>
      </c>
      <c r="C100" s="2" t="s">
        <v>27</v>
      </c>
      <c r="D100" s="2" t="s">
        <v>45</v>
      </c>
      <c r="E100" s="2" t="s">
        <v>51</v>
      </c>
      <c r="F100" s="2">
        <v>4</v>
      </c>
      <c r="G100" s="2">
        <v>5</v>
      </c>
      <c r="H100" s="2">
        <v>5</v>
      </c>
      <c r="I100" s="2">
        <v>5</v>
      </c>
      <c r="J100" s="2">
        <v>2</v>
      </c>
      <c r="K100" s="2">
        <v>3</v>
      </c>
      <c r="L100" s="2">
        <v>4</v>
      </c>
      <c r="M100" s="2">
        <v>2</v>
      </c>
      <c r="N100" s="2">
        <v>4</v>
      </c>
      <c r="O100" s="2">
        <v>2</v>
      </c>
      <c r="P100" s="2">
        <v>5</v>
      </c>
      <c r="Q100" s="2">
        <v>3</v>
      </c>
      <c r="R100" s="2">
        <v>2</v>
      </c>
      <c r="S100" s="2">
        <v>5</v>
      </c>
      <c r="T100" s="2">
        <v>4</v>
      </c>
      <c r="U100" s="2">
        <v>5</v>
      </c>
      <c r="V100" s="2">
        <v>4</v>
      </c>
      <c r="W100" s="2">
        <v>2</v>
      </c>
      <c r="X100" s="2">
        <v>3</v>
      </c>
      <c r="Y100" s="2">
        <v>5</v>
      </c>
      <c r="Z100">
        <f t="shared" si="7"/>
        <v>4.666666666666667</v>
      </c>
      <c r="AA100">
        <f t="shared" si="5"/>
        <v>3.3333333333333335</v>
      </c>
      <c r="AB100">
        <f t="shared" si="6"/>
        <v>3</v>
      </c>
    </row>
    <row r="101" spans="1:28" x14ac:dyDescent="0.35">
      <c r="A101" s="3" t="s">
        <v>42</v>
      </c>
      <c r="B101" s="3" t="s">
        <v>53</v>
      </c>
      <c r="C101" s="3" t="s">
        <v>54</v>
      </c>
      <c r="D101" s="3" t="s">
        <v>47</v>
      </c>
      <c r="E101" s="3" t="s">
        <v>51</v>
      </c>
      <c r="F101" s="3">
        <v>3</v>
      </c>
      <c r="G101" s="3">
        <v>4</v>
      </c>
      <c r="H101" s="3">
        <v>5</v>
      </c>
      <c r="I101" s="3">
        <v>4</v>
      </c>
      <c r="J101" s="3">
        <v>5</v>
      </c>
      <c r="K101" s="3">
        <v>5</v>
      </c>
      <c r="L101" s="3">
        <v>4</v>
      </c>
      <c r="M101" s="3">
        <v>5</v>
      </c>
      <c r="N101" s="3">
        <v>5</v>
      </c>
      <c r="O101" s="3">
        <v>2</v>
      </c>
      <c r="P101" s="3">
        <v>3</v>
      </c>
      <c r="Q101" s="3">
        <v>4</v>
      </c>
      <c r="R101" s="3">
        <v>5</v>
      </c>
      <c r="S101" s="3">
        <v>5</v>
      </c>
      <c r="T101" s="3">
        <v>4</v>
      </c>
      <c r="U101" s="3">
        <v>1</v>
      </c>
      <c r="V101" s="3">
        <v>4</v>
      </c>
      <c r="W101" s="3">
        <v>1</v>
      </c>
      <c r="X101" s="3">
        <v>4</v>
      </c>
      <c r="Y101" s="3">
        <v>4</v>
      </c>
      <c r="Z101">
        <f t="shared" si="7"/>
        <v>4</v>
      </c>
      <c r="AA101">
        <f t="shared" si="5"/>
        <v>4.666666666666667</v>
      </c>
      <c r="AB101">
        <f t="shared" si="6"/>
        <v>4</v>
      </c>
    </row>
    <row r="102" spans="1:28" x14ac:dyDescent="0.35">
      <c r="A102" s="2" t="s">
        <v>42</v>
      </c>
      <c r="B102" s="2" t="s">
        <v>36</v>
      </c>
      <c r="C102" s="2" t="s">
        <v>27</v>
      </c>
      <c r="D102" s="2" t="s">
        <v>28</v>
      </c>
      <c r="E102" s="2" t="s">
        <v>57</v>
      </c>
      <c r="F102" s="2">
        <v>4</v>
      </c>
      <c r="G102" s="2">
        <v>4</v>
      </c>
      <c r="H102" s="2">
        <v>4</v>
      </c>
      <c r="I102" s="2">
        <v>4</v>
      </c>
      <c r="J102" s="2">
        <v>2</v>
      </c>
      <c r="K102" s="2">
        <v>4</v>
      </c>
      <c r="L102" s="2">
        <v>4</v>
      </c>
      <c r="M102" s="2">
        <v>4</v>
      </c>
      <c r="N102" s="2">
        <v>3</v>
      </c>
      <c r="O102" s="2">
        <v>2</v>
      </c>
      <c r="P102" s="2">
        <v>4</v>
      </c>
      <c r="Q102" s="2">
        <v>5</v>
      </c>
      <c r="R102" s="2">
        <v>3</v>
      </c>
      <c r="S102" s="2">
        <v>5</v>
      </c>
      <c r="T102" s="2">
        <v>4</v>
      </c>
      <c r="U102" s="2">
        <v>5</v>
      </c>
      <c r="V102" s="2">
        <v>4</v>
      </c>
      <c r="W102" s="2">
        <v>3</v>
      </c>
      <c r="X102" s="2">
        <v>4</v>
      </c>
      <c r="Y102" s="2">
        <v>4</v>
      </c>
      <c r="Z102">
        <f t="shared" si="7"/>
        <v>4</v>
      </c>
      <c r="AA102">
        <f t="shared" si="5"/>
        <v>3.3333333333333335</v>
      </c>
      <c r="AB102">
        <f t="shared" si="6"/>
        <v>3.25</v>
      </c>
    </row>
    <row r="103" spans="1:28" x14ac:dyDescent="0.35">
      <c r="A103" s="3" t="s">
        <v>42</v>
      </c>
      <c r="B103" s="3" t="s">
        <v>26</v>
      </c>
      <c r="C103" s="3" t="s">
        <v>59</v>
      </c>
      <c r="D103" s="3" t="s">
        <v>52</v>
      </c>
      <c r="E103" s="3" t="s">
        <v>29</v>
      </c>
      <c r="F103" s="3">
        <v>5</v>
      </c>
      <c r="G103" s="3">
        <v>5</v>
      </c>
      <c r="H103" s="3">
        <v>1</v>
      </c>
      <c r="I103" s="3">
        <v>5</v>
      </c>
      <c r="J103" s="3">
        <v>4</v>
      </c>
      <c r="K103" s="3">
        <v>4</v>
      </c>
      <c r="L103" s="3">
        <v>4</v>
      </c>
      <c r="M103" s="3">
        <v>4</v>
      </c>
      <c r="N103" s="3">
        <v>5</v>
      </c>
      <c r="O103" s="3">
        <v>5</v>
      </c>
      <c r="P103" s="3">
        <v>5</v>
      </c>
      <c r="Q103" s="3">
        <v>4</v>
      </c>
      <c r="R103" s="3">
        <v>2</v>
      </c>
      <c r="S103" s="3">
        <v>2</v>
      </c>
      <c r="T103" s="3">
        <v>4</v>
      </c>
      <c r="U103" s="3">
        <v>5</v>
      </c>
      <c r="V103" s="3">
        <v>3</v>
      </c>
      <c r="W103" s="3">
        <v>2</v>
      </c>
      <c r="X103" s="3">
        <v>5</v>
      </c>
      <c r="Y103" s="3">
        <v>4</v>
      </c>
      <c r="Z103">
        <f t="shared" si="7"/>
        <v>3.6666666666666665</v>
      </c>
      <c r="AA103">
        <f t="shared" si="5"/>
        <v>4.333333333333333</v>
      </c>
      <c r="AB103">
        <f t="shared" si="6"/>
        <v>4.5</v>
      </c>
    </row>
    <row r="104" spans="1:28" x14ac:dyDescent="0.35">
      <c r="A104" s="2" t="s">
        <v>25</v>
      </c>
      <c r="B104" s="2" t="s">
        <v>26</v>
      </c>
      <c r="C104" s="2" t="s">
        <v>60</v>
      </c>
      <c r="D104" s="2" t="s">
        <v>28</v>
      </c>
      <c r="E104" s="2" t="s">
        <v>51</v>
      </c>
      <c r="F104" s="2">
        <v>2</v>
      </c>
      <c r="G104" s="2">
        <v>2</v>
      </c>
      <c r="H104" s="2">
        <v>4</v>
      </c>
      <c r="I104" s="2">
        <v>5</v>
      </c>
      <c r="J104" s="2">
        <v>4</v>
      </c>
      <c r="K104" s="2">
        <v>5</v>
      </c>
      <c r="L104" s="2">
        <v>2</v>
      </c>
      <c r="M104" s="2">
        <v>3</v>
      </c>
      <c r="N104" s="2">
        <v>5</v>
      </c>
      <c r="O104" s="2">
        <v>3</v>
      </c>
      <c r="P104" s="2">
        <v>4</v>
      </c>
      <c r="Q104" s="2">
        <v>5</v>
      </c>
      <c r="R104" s="2">
        <v>4</v>
      </c>
      <c r="S104" s="2">
        <v>4</v>
      </c>
      <c r="T104" s="2">
        <v>4</v>
      </c>
      <c r="U104" s="2">
        <v>4</v>
      </c>
      <c r="V104" s="2">
        <v>5</v>
      </c>
      <c r="W104" s="2">
        <v>4</v>
      </c>
      <c r="X104" s="2">
        <v>3</v>
      </c>
      <c r="Y104" s="2">
        <v>4</v>
      </c>
      <c r="Z104">
        <f t="shared" si="7"/>
        <v>2.6666666666666665</v>
      </c>
      <c r="AA104">
        <f t="shared" si="5"/>
        <v>4.666666666666667</v>
      </c>
      <c r="AB104">
        <f t="shared" si="6"/>
        <v>3.25</v>
      </c>
    </row>
    <row r="105" spans="1:28" x14ac:dyDescent="0.35">
      <c r="A105" s="3" t="s">
        <v>35</v>
      </c>
      <c r="B105" s="3" t="s">
        <v>43</v>
      </c>
      <c r="C105" s="3" t="s">
        <v>37</v>
      </c>
      <c r="D105" s="3" t="s">
        <v>52</v>
      </c>
      <c r="E105" s="3" t="s">
        <v>29</v>
      </c>
      <c r="F105" s="3">
        <v>3</v>
      </c>
      <c r="G105" s="3">
        <v>3</v>
      </c>
      <c r="H105" s="3">
        <v>5</v>
      </c>
      <c r="I105" s="3">
        <v>2</v>
      </c>
      <c r="J105" s="3">
        <v>5</v>
      </c>
      <c r="K105" s="3">
        <v>5</v>
      </c>
      <c r="L105" s="3">
        <v>3</v>
      </c>
      <c r="M105" s="3">
        <v>4</v>
      </c>
      <c r="N105" s="3">
        <v>4</v>
      </c>
      <c r="O105" s="3">
        <v>5</v>
      </c>
      <c r="P105" s="3">
        <v>4</v>
      </c>
      <c r="Q105" s="3">
        <v>4</v>
      </c>
      <c r="R105" s="3">
        <v>2</v>
      </c>
      <c r="S105" s="3">
        <v>4</v>
      </c>
      <c r="T105" s="3">
        <v>3</v>
      </c>
      <c r="U105" s="3">
        <v>3</v>
      </c>
      <c r="V105" s="3">
        <v>2</v>
      </c>
      <c r="W105" s="3">
        <v>3</v>
      </c>
      <c r="X105" s="3">
        <v>3</v>
      </c>
      <c r="Y105" s="3">
        <v>1</v>
      </c>
      <c r="Z105">
        <f t="shared" si="7"/>
        <v>3.6666666666666665</v>
      </c>
      <c r="AA105">
        <f t="shared" si="5"/>
        <v>4</v>
      </c>
      <c r="AB105">
        <f t="shared" si="6"/>
        <v>4</v>
      </c>
    </row>
    <row r="106" spans="1:28" x14ac:dyDescent="0.35">
      <c r="A106" s="2" t="s">
        <v>35</v>
      </c>
      <c r="B106" s="2" t="s">
        <v>53</v>
      </c>
      <c r="C106" s="2" t="s">
        <v>60</v>
      </c>
      <c r="D106" s="2" t="s">
        <v>58</v>
      </c>
      <c r="E106" s="2" t="s">
        <v>57</v>
      </c>
      <c r="F106" s="2">
        <v>5</v>
      </c>
      <c r="G106" s="2">
        <v>4</v>
      </c>
      <c r="H106" s="2">
        <v>5</v>
      </c>
      <c r="I106" s="2">
        <v>4</v>
      </c>
      <c r="J106" s="2">
        <v>2</v>
      </c>
      <c r="K106" s="2">
        <v>5</v>
      </c>
      <c r="L106" s="2">
        <v>4</v>
      </c>
      <c r="M106" s="2">
        <v>4</v>
      </c>
      <c r="N106" s="2">
        <v>4</v>
      </c>
      <c r="O106" s="2">
        <v>1</v>
      </c>
      <c r="P106" s="2">
        <v>4</v>
      </c>
      <c r="Q106" s="2">
        <v>3</v>
      </c>
      <c r="R106" s="2">
        <v>2</v>
      </c>
      <c r="S106" s="2">
        <v>5</v>
      </c>
      <c r="T106" s="2">
        <v>5</v>
      </c>
      <c r="U106" s="2">
        <v>3</v>
      </c>
      <c r="V106" s="2">
        <v>4</v>
      </c>
      <c r="W106" s="2">
        <v>4</v>
      </c>
      <c r="X106" s="2">
        <v>4</v>
      </c>
      <c r="Y106" s="2">
        <v>4</v>
      </c>
      <c r="Z106">
        <f t="shared" si="7"/>
        <v>4.666666666666667</v>
      </c>
      <c r="AA106">
        <f t="shared" si="5"/>
        <v>3.6666666666666665</v>
      </c>
      <c r="AB106">
        <f t="shared" si="6"/>
        <v>3.25</v>
      </c>
    </row>
    <row r="107" spans="1:28" x14ac:dyDescent="0.35">
      <c r="A107" s="3" t="s">
        <v>42</v>
      </c>
      <c r="B107" s="3" t="s">
        <v>26</v>
      </c>
      <c r="C107" s="3" t="s">
        <v>62</v>
      </c>
      <c r="D107" s="3" t="s">
        <v>58</v>
      </c>
      <c r="E107" s="3" t="s">
        <v>57</v>
      </c>
      <c r="F107" s="3">
        <v>2</v>
      </c>
      <c r="G107" s="3">
        <v>5</v>
      </c>
      <c r="H107" s="3">
        <v>5</v>
      </c>
      <c r="I107" s="3">
        <v>5</v>
      </c>
      <c r="J107" s="3">
        <v>1</v>
      </c>
      <c r="K107" s="3">
        <v>4</v>
      </c>
      <c r="L107" s="3">
        <v>2</v>
      </c>
      <c r="M107" s="3">
        <v>4</v>
      </c>
      <c r="N107" s="3">
        <v>4</v>
      </c>
      <c r="O107" s="3">
        <v>5</v>
      </c>
      <c r="P107" s="3">
        <v>3</v>
      </c>
      <c r="Q107" s="3">
        <v>4</v>
      </c>
      <c r="R107" s="3">
        <v>2</v>
      </c>
      <c r="S107" s="3">
        <v>4</v>
      </c>
      <c r="T107" s="3">
        <v>5</v>
      </c>
      <c r="U107" s="3">
        <v>3</v>
      </c>
      <c r="V107" s="3">
        <v>4</v>
      </c>
      <c r="W107" s="3">
        <v>3</v>
      </c>
      <c r="X107" s="3">
        <v>3</v>
      </c>
      <c r="Y107" s="3">
        <v>4</v>
      </c>
      <c r="Z107">
        <f t="shared" si="7"/>
        <v>4</v>
      </c>
      <c r="AA107">
        <f t="shared" si="5"/>
        <v>3.3333333333333335</v>
      </c>
      <c r="AB107">
        <f t="shared" si="6"/>
        <v>3.75</v>
      </c>
    </row>
    <row r="108" spans="1:28" x14ac:dyDescent="0.35">
      <c r="A108" s="2" t="s">
        <v>35</v>
      </c>
      <c r="B108" s="2" t="s">
        <v>36</v>
      </c>
      <c r="C108" s="2" t="s">
        <v>27</v>
      </c>
      <c r="D108" s="2" t="s">
        <v>50</v>
      </c>
      <c r="E108" s="2" t="s">
        <v>39</v>
      </c>
      <c r="F108" s="2">
        <v>3</v>
      </c>
      <c r="G108" s="2">
        <v>5</v>
      </c>
      <c r="H108" s="2">
        <v>5</v>
      </c>
      <c r="I108" s="2">
        <v>4</v>
      </c>
      <c r="J108" s="2">
        <v>4</v>
      </c>
      <c r="K108" s="2">
        <v>4</v>
      </c>
      <c r="L108" s="2">
        <v>4</v>
      </c>
      <c r="M108" s="2">
        <v>5</v>
      </c>
      <c r="N108" s="2">
        <v>5</v>
      </c>
      <c r="O108" s="2">
        <v>5</v>
      </c>
      <c r="P108" s="2">
        <v>3</v>
      </c>
      <c r="Q108" s="2">
        <v>5</v>
      </c>
      <c r="R108" s="2">
        <v>2</v>
      </c>
      <c r="S108" s="2">
        <v>2</v>
      </c>
      <c r="T108" s="2">
        <v>1</v>
      </c>
      <c r="U108" s="2">
        <v>5</v>
      </c>
      <c r="V108" s="2">
        <v>4</v>
      </c>
      <c r="W108" s="2">
        <v>5</v>
      </c>
      <c r="X108" s="2">
        <v>4</v>
      </c>
      <c r="Y108" s="2">
        <v>4</v>
      </c>
      <c r="Z108">
        <f t="shared" si="7"/>
        <v>4.333333333333333</v>
      </c>
      <c r="AA108">
        <f t="shared" si="5"/>
        <v>4</v>
      </c>
      <c r="AB108">
        <f t="shared" si="6"/>
        <v>4.75</v>
      </c>
    </row>
    <row r="109" spans="1:28" x14ac:dyDescent="0.35">
      <c r="A109" s="3" t="s">
        <v>35</v>
      </c>
      <c r="B109" s="3" t="s">
        <v>26</v>
      </c>
      <c r="C109" s="3" t="s">
        <v>62</v>
      </c>
      <c r="D109" s="3" t="s">
        <v>61</v>
      </c>
      <c r="E109" s="3" t="s">
        <v>57</v>
      </c>
      <c r="F109" s="3">
        <v>4</v>
      </c>
      <c r="G109" s="3">
        <v>3</v>
      </c>
      <c r="H109" s="3">
        <v>4</v>
      </c>
      <c r="I109" s="3">
        <v>2</v>
      </c>
      <c r="J109" s="3">
        <v>4</v>
      </c>
      <c r="K109" s="3">
        <v>3</v>
      </c>
      <c r="L109" s="3">
        <v>4</v>
      </c>
      <c r="M109" s="3">
        <v>4</v>
      </c>
      <c r="N109" s="3">
        <v>3</v>
      </c>
      <c r="O109" s="3">
        <v>1</v>
      </c>
      <c r="P109" s="3">
        <v>3</v>
      </c>
      <c r="Q109" s="3">
        <v>2</v>
      </c>
      <c r="R109" s="3">
        <v>5</v>
      </c>
      <c r="S109" s="3">
        <v>5</v>
      </c>
      <c r="T109" s="3">
        <v>2</v>
      </c>
      <c r="U109" s="3">
        <v>5</v>
      </c>
      <c r="V109" s="3">
        <v>1</v>
      </c>
      <c r="W109" s="3">
        <v>5</v>
      </c>
      <c r="X109" s="3">
        <v>4</v>
      </c>
      <c r="Y109" s="3">
        <v>4</v>
      </c>
      <c r="Z109">
        <f t="shared" si="7"/>
        <v>3.6666666666666665</v>
      </c>
      <c r="AA109">
        <f t="shared" si="5"/>
        <v>3</v>
      </c>
      <c r="AB109">
        <f t="shared" si="6"/>
        <v>3</v>
      </c>
    </row>
    <row r="110" spans="1:28" x14ac:dyDescent="0.35">
      <c r="A110" s="2" t="s">
        <v>35</v>
      </c>
      <c r="B110" s="2" t="s">
        <v>36</v>
      </c>
      <c r="C110" s="2" t="s">
        <v>27</v>
      </c>
      <c r="D110" s="2" t="s">
        <v>28</v>
      </c>
      <c r="E110" s="2" t="s">
        <v>29</v>
      </c>
      <c r="F110" s="2">
        <v>2</v>
      </c>
      <c r="G110" s="2">
        <v>4</v>
      </c>
      <c r="H110" s="2">
        <v>4</v>
      </c>
      <c r="I110" s="2">
        <v>4</v>
      </c>
      <c r="J110" s="2">
        <v>4</v>
      </c>
      <c r="K110" s="2">
        <v>5</v>
      </c>
      <c r="L110" s="2">
        <v>3</v>
      </c>
      <c r="M110" s="2">
        <v>4</v>
      </c>
      <c r="N110" s="2">
        <v>4</v>
      </c>
      <c r="O110" s="2">
        <v>2</v>
      </c>
      <c r="P110" s="2">
        <v>5</v>
      </c>
      <c r="Q110" s="2">
        <v>5</v>
      </c>
      <c r="R110" s="2">
        <v>4</v>
      </c>
      <c r="S110" s="2">
        <v>4</v>
      </c>
      <c r="T110" s="2">
        <v>5</v>
      </c>
      <c r="U110" s="2">
        <v>3</v>
      </c>
      <c r="V110" s="2">
        <v>1</v>
      </c>
      <c r="W110" s="2">
        <v>5</v>
      </c>
      <c r="X110" s="2">
        <v>5</v>
      </c>
      <c r="Y110" s="2">
        <v>5</v>
      </c>
      <c r="Z110">
        <f t="shared" si="7"/>
        <v>3.3333333333333335</v>
      </c>
      <c r="AA110">
        <f t="shared" si="5"/>
        <v>4.333333333333333</v>
      </c>
      <c r="AB110">
        <f t="shared" si="6"/>
        <v>3.25</v>
      </c>
    </row>
    <row r="111" spans="1:28" x14ac:dyDescent="0.35">
      <c r="A111" s="3" t="s">
        <v>42</v>
      </c>
      <c r="B111" s="3" t="s">
        <v>43</v>
      </c>
      <c r="C111" s="3" t="s">
        <v>62</v>
      </c>
      <c r="D111" s="3" t="s">
        <v>58</v>
      </c>
      <c r="E111" s="3" t="s">
        <v>29</v>
      </c>
      <c r="F111" s="3">
        <v>3</v>
      </c>
      <c r="G111" s="3">
        <v>5</v>
      </c>
      <c r="H111" s="3">
        <v>3</v>
      </c>
      <c r="I111" s="3">
        <v>5</v>
      </c>
      <c r="J111" s="3">
        <v>3</v>
      </c>
      <c r="K111" s="3">
        <v>4</v>
      </c>
      <c r="L111" s="3">
        <v>5</v>
      </c>
      <c r="M111" s="3">
        <v>5</v>
      </c>
      <c r="N111" s="3">
        <v>3</v>
      </c>
      <c r="O111" s="3">
        <v>4</v>
      </c>
      <c r="P111" s="3">
        <v>4</v>
      </c>
      <c r="Q111" s="3">
        <v>5</v>
      </c>
      <c r="R111" s="3">
        <v>3</v>
      </c>
      <c r="S111" s="3">
        <v>3</v>
      </c>
      <c r="T111" s="3">
        <v>4</v>
      </c>
      <c r="U111" s="3">
        <v>2</v>
      </c>
      <c r="V111" s="3">
        <v>5</v>
      </c>
      <c r="W111" s="3">
        <v>4</v>
      </c>
      <c r="X111" s="3">
        <v>2</v>
      </c>
      <c r="Y111" s="3">
        <v>2</v>
      </c>
      <c r="Z111">
        <f t="shared" si="7"/>
        <v>3.6666666666666665</v>
      </c>
      <c r="AA111">
        <f t="shared" si="5"/>
        <v>4</v>
      </c>
      <c r="AB111">
        <f t="shared" si="6"/>
        <v>4.25</v>
      </c>
    </row>
    <row r="112" spans="1:28" x14ac:dyDescent="0.35">
      <c r="A112" s="2" t="s">
        <v>35</v>
      </c>
      <c r="B112" s="2" t="s">
        <v>48</v>
      </c>
      <c r="C112" s="2" t="s">
        <v>27</v>
      </c>
      <c r="D112" s="2" t="s">
        <v>52</v>
      </c>
      <c r="E112" s="2" t="s">
        <v>51</v>
      </c>
      <c r="F112" s="2">
        <v>4</v>
      </c>
      <c r="G112" s="2">
        <v>5</v>
      </c>
      <c r="H112" s="2">
        <v>4</v>
      </c>
      <c r="I112" s="2">
        <v>2</v>
      </c>
      <c r="J112" s="2">
        <v>4</v>
      </c>
      <c r="K112" s="2">
        <v>4</v>
      </c>
      <c r="L112" s="2">
        <v>1</v>
      </c>
      <c r="M112" s="2">
        <v>4</v>
      </c>
      <c r="N112" s="2">
        <v>4</v>
      </c>
      <c r="O112" s="2">
        <v>5</v>
      </c>
      <c r="P112" s="2">
        <v>4</v>
      </c>
      <c r="Q112" s="2">
        <v>4</v>
      </c>
      <c r="R112" s="2">
        <v>4</v>
      </c>
      <c r="S112" s="2">
        <v>4</v>
      </c>
      <c r="T112" s="2">
        <v>5</v>
      </c>
      <c r="U112" s="2">
        <v>4</v>
      </c>
      <c r="V112" s="2">
        <v>5</v>
      </c>
      <c r="W112" s="2">
        <v>3</v>
      </c>
      <c r="X112" s="2">
        <v>5</v>
      </c>
      <c r="Y112" s="2">
        <v>5</v>
      </c>
      <c r="Z112">
        <f t="shared" si="7"/>
        <v>4.333333333333333</v>
      </c>
      <c r="AA112">
        <f t="shared" si="5"/>
        <v>3.3333333333333335</v>
      </c>
      <c r="AB112">
        <f t="shared" si="6"/>
        <v>3.5</v>
      </c>
    </row>
    <row r="113" spans="1:28" x14ac:dyDescent="0.35">
      <c r="A113" s="3" t="s">
        <v>35</v>
      </c>
      <c r="B113" s="3" t="s">
        <v>53</v>
      </c>
      <c r="C113" s="3" t="s">
        <v>27</v>
      </c>
      <c r="D113" s="3" t="s">
        <v>61</v>
      </c>
      <c r="E113" s="3" t="s">
        <v>41</v>
      </c>
      <c r="F113" s="3">
        <v>4</v>
      </c>
      <c r="G113" s="3">
        <v>4</v>
      </c>
      <c r="H113" s="3">
        <v>4</v>
      </c>
      <c r="I113" s="3">
        <v>4</v>
      </c>
      <c r="J113" s="3">
        <v>5</v>
      </c>
      <c r="K113" s="3">
        <v>4</v>
      </c>
      <c r="L113" s="3">
        <v>3</v>
      </c>
      <c r="M113" s="3">
        <v>3</v>
      </c>
      <c r="N113" s="3">
        <v>4</v>
      </c>
      <c r="O113" s="3">
        <v>3</v>
      </c>
      <c r="P113" s="3">
        <v>4</v>
      </c>
      <c r="Q113" s="3">
        <v>5</v>
      </c>
      <c r="R113" s="3">
        <v>5</v>
      </c>
      <c r="S113" s="3">
        <v>5</v>
      </c>
      <c r="T113" s="3">
        <v>4</v>
      </c>
      <c r="U113" s="3">
        <v>2</v>
      </c>
      <c r="V113" s="3">
        <v>4</v>
      </c>
      <c r="W113" s="3">
        <v>2</v>
      </c>
      <c r="X113" s="3">
        <v>4</v>
      </c>
      <c r="Y113" s="3">
        <v>3</v>
      </c>
      <c r="Z113">
        <f t="shared" si="7"/>
        <v>4</v>
      </c>
      <c r="AA113">
        <f t="shared" si="5"/>
        <v>4.333333333333333</v>
      </c>
      <c r="AB113">
        <f t="shared" si="6"/>
        <v>3.25</v>
      </c>
    </row>
    <row r="114" spans="1:28" x14ac:dyDescent="0.35">
      <c r="A114" s="2" t="s">
        <v>35</v>
      </c>
      <c r="B114" s="2" t="s">
        <v>43</v>
      </c>
      <c r="C114" s="2" t="s">
        <v>55</v>
      </c>
      <c r="D114" s="2" t="s">
        <v>56</v>
      </c>
      <c r="E114" s="2" t="s">
        <v>29</v>
      </c>
      <c r="F114" s="2">
        <v>3</v>
      </c>
      <c r="G114" s="2">
        <v>4</v>
      </c>
      <c r="H114" s="2">
        <v>5</v>
      </c>
      <c r="I114" s="2">
        <v>4</v>
      </c>
      <c r="J114" s="2">
        <v>2</v>
      </c>
      <c r="K114" s="2">
        <v>5</v>
      </c>
      <c r="L114" s="2">
        <v>3</v>
      </c>
      <c r="M114" s="2">
        <v>4</v>
      </c>
      <c r="N114" s="2">
        <v>4</v>
      </c>
      <c r="O114" s="2">
        <v>5</v>
      </c>
      <c r="P114" s="2">
        <v>4</v>
      </c>
      <c r="Q114" s="2">
        <v>4</v>
      </c>
      <c r="R114" s="2">
        <v>4</v>
      </c>
      <c r="S114" s="2">
        <v>4</v>
      </c>
      <c r="T114" s="2">
        <v>2</v>
      </c>
      <c r="U114" s="2">
        <v>4</v>
      </c>
      <c r="V114" s="2">
        <v>2</v>
      </c>
      <c r="W114" s="2">
        <v>5</v>
      </c>
      <c r="X114" s="2">
        <v>4</v>
      </c>
      <c r="Y114" s="2">
        <v>1</v>
      </c>
      <c r="Z114">
        <f t="shared" si="7"/>
        <v>4</v>
      </c>
      <c r="AA114">
        <f t="shared" si="5"/>
        <v>3.6666666666666665</v>
      </c>
      <c r="AB114">
        <f t="shared" si="6"/>
        <v>4</v>
      </c>
    </row>
    <row r="115" spans="1:28" x14ac:dyDescent="0.35">
      <c r="A115" s="3" t="s">
        <v>25</v>
      </c>
      <c r="B115" s="3" t="s">
        <v>26</v>
      </c>
      <c r="C115" s="3" t="s">
        <v>59</v>
      </c>
      <c r="D115" s="3" t="s">
        <v>45</v>
      </c>
      <c r="E115" s="3" t="s">
        <v>29</v>
      </c>
      <c r="F115" s="3">
        <v>2</v>
      </c>
      <c r="G115" s="3">
        <v>4</v>
      </c>
      <c r="H115" s="3">
        <v>5</v>
      </c>
      <c r="I115" s="3">
        <v>3</v>
      </c>
      <c r="J115" s="3">
        <v>1</v>
      </c>
      <c r="K115" s="3">
        <v>5</v>
      </c>
      <c r="L115" s="3">
        <v>5</v>
      </c>
      <c r="M115" s="3">
        <v>3</v>
      </c>
      <c r="N115" s="3">
        <v>4</v>
      </c>
      <c r="O115" s="3">
        <v>4</v>
      </c>
      <c r="P115" s="3">
        <v>4</v>
      </c>
      <c r="Q115" s="3">
        <v>5</v>
      </c>
      <c r="R115" s="3">
        <v>1</v>
      </c>
      <c r="S115" s="3">
        <v>5</v>
      </c>
      <c r="T115" s="3">
        <v>5</v>
      </c>
      <c r="U115" s="3">
        <v>4</v>
      </c>
      <c r="V115" s="3">
        <v>1</v>
      </c>
      <c r="W115" s="3">
        <v>4</v>
      </c>
      <c r="X115" s="3">
        <v>3</v>
      </c>
      <c r="Y115" s="3">
        <v>5</v>
      </c>
      <c r="Z115">
        <f t="shared" si="7"/>
        <v>3.6666666666666665</v>
      </c>
      <c r="AA115">
        <f t="shared" si="5"/>
        <v>3</v>
      </c>
      <c r="AB115">
        <f t="shared" si="6"/>
        <v>4</v>
      </c>
    </row>
    <row r="116" spans="1:28" x14ac:dyDescent="0.35">
      <c r="A116" s="2" t="s">
        <v>42</v>
      </c>
      <c r="B116" s="2" t="s">
        <v>26</v>
      </c>
      <c r="C116" s="2" t="s">
        <v>55</v>
      </c>
      <c r="D116" s="2" t="s">
        <v>52</v>
      </c>
      <c r="E116" s="2" t="s">
        <v>51</v>
      </c>
      <c r="F116" s="2">
        <v>4</v>
      </c>
      <c r="G116" s="2">
        <v>3</v>
      </c>
      <c r="H116" s="2">
        <v>5</v>
      </c>
      <c r="I116" s="2">
        <v>4</v>
      </c>
      <c r="J116" s="2">
        <v>5</v>
      </c>
      <c r="K116" s="2">
        <v>4</v>
      </c>
      <c r="L116" s="2">
        <v>4</v>
      </c>
      <c r="M116" s="2">
        <v>3</v>
      </c>
      <c r="N116" s="2">
        <v>4</v>
      </c>
      <c r="O116" s="2">
        <v>5</v>
      </c>
      <c r="P116" s="2">
        <v>2</v>
      </c>
      <c r="Q116" s="2">
        <v>2</v>
      </c>
      <c r="R116" s="2">
        <v>2</v>
      </c>
      <c r="S116" s="2">
        <v>4</v>
      </c>
      <c r="T116" s="2">
        <v>5</v>
      </c>
      <c r="U116" s="2">
        <v>5</v>
      </c>
      <c r="V116" s="2">
        <v>3</v>
      </c>
      <c r="W116" s="2">
        <v>5</v>
      </c>
      <c r="X116" s="2">
        <v>3</v>
      </c>
      <c r="Y116" s="2">
        <v>4</v>
      </c>
      <c r="Z116">
        <f t="shared" si="7"/>
        <v>4</v>
      </c>
      <c r="AA116">
        <f t="shared" si="5"/>
        <v>4.333333333333333</v>
      </c>
      <c r="AB116">
        <f t="shared" si="6"/>
        <v>4</v>
      </c>
    </row>
    <row r="117" spans="1:28" x14ac:dyDescent="0.35">
      <c r="A117" s="3" t="s">
        <v>35</v>
      </c>
      <c r="B117" s="3" t="s">
        <v>53</v>
      </c>
      <c r="C117" s="3" t="s">
        <v>60</v>
      </c>
      <c r="D117" s="3" t="s">
        <v>38</v>
      </c>
      <c r="E117" s="3" t="s">
        <v>29</v>
      </c>
      <c r="F117" s="3">
        <v>3</v>
      </c>
      <c r="G117" s="3">
        <v>4</v>
      </c>
      <c r="H117" s="3">
        <v>4</v>
      </c>
      <c r="I117" s="3">
        <v>5</v>
      </c>
      <c r="J117" s="3">
        <v>4</v>
      </c>
      <c r="K117" s="3">
        <v>5</v>
      </c>
      <c r="L117" s="3">
        <v>3</v>
      </c>
      <c r="M117" s="3">
        <v>2</v>
      </c>
      <c r="N117" s="3">
        <v>4</v>
      </c>
      <c r="O117" s="3">
        <v>5</v>
      </c>
      <c r="P117" s="3">
        <v>5</v>
      </c>
      <c r="Q117" s="3">
        <v>2</v>
      </c>
      <c r="R117" s="3">
        <v>2</v>
      </c>
      <c r="S117" s="3">
        <v>5</v>
      </c>
      <c r="T117" s="3">
        <v>4</v>
      </c>
      <c r="U117" s="3">
        <v>5</v>
      </c>
      <c r="V117" s="3">
        <v>5</v>
      </c>
      <c r="W117" s="3">
        <v>4</v>
      </c>
      <c r="X117" s="3">
        <v>4</v>
      </c>
      <c r="Y117" s="3">
        <v>4</v>
      </c>
      <c r="Z117">
        <f t="shared" si="7"/>
        <v>3.6666666666666665</v>
      </c>
      <c r="AA117">
        <f t="shared" si="5"/>
        <v>4.666666666666667</v>
      </c>
      <c r="AB117">
        <f t="shared" si="6"/>
        <v>3.5</v>
      </c>
    </row>
    <row r="118" spans="1:28" x14ac:dyDescent="0.35">
      <c r="A118" s="2" t="s">
        <v>42</v>
      </c>
      <c r="B118" s="2" t="s">
        <v>36</v>
      </c>
      <c r="C118" s="2" t="s">
        <v>44</v>
      </c>
      <c r="D118" s="2" t="s">
        <v>50</v>
      </c>
      <c r="E118" s="2" t="s">
        <v>51</v>
      </c>
      <c r="F118" s="2">
        <v>5</v>
      </c>
      <c r="G118" s="2">
        <v>4</v>
      </c>
      <c r="H118" s="2">
        <v>4</v>
      </c>
      <c r="I118" s="2">
        <v>2</v>
      </c>
      <c r="J118" s="2">
        <v>4</v>
      </c>
      <c r="K118" s="2">
        <v>4</v>
      </c>
      <c r="L118" s="2">
        <v>2</v>
      </c>
      <c r="M118" s="2">
        <v>2</v>
      </c>
      <c r="N118" s="2">
        <v>4</v>
      </c>
      <c r="O118" s="2">
        <v>1</v>
      </c>
      <c r="P118" s="2">
        <v>4</v>
      </c>
      <c r="Q118" s="2">
        <v>4</v>
      </c>
      <c r="R118" s="2">
        <v>2</v>
      </c>
      <c r="S118" s="2">
        <v>4</v>
      </c>
      <c r="T118" s="2">
        <v>5</v>
      </c>
      <c r="U118" s="2">
        <v>4</v>
      </c>
      <c r="V118" s="2">
        <v>3</v>
      </c>
      <c r="W118" s="2">
        <v>4</v>
      </c>
      <c r="X118" s="2">
        <v>5</v>
      </c>
      <c r="Y118" s="2">
        <v>2</v>
      </c>
      <c r="Z118">
        <f t="shared" si="7"/>
        <v>4.333333333333333</v>
      </c>
      <c r="AA118">
        <f t="shared" si="5"/>
        <v>3.3333333333333335</v>
      </c>
      <c r="AB118">
        <f t="shared" si="6"/>
        <v>2.25</v>
      </c>
    </row>
    <row r="119" spans="1:28" x14ac:dyDescent="0.35">
      <c r="A119" s="3" t="s">
        <v>35</v>
      </c>
      <c r="B119" s="3" t="s">
        <v>26</v>
      </c>
      <c r="C119" s="3" t="s">
        <v>62</v>
      </c>
      <c r="D119" s="3" t="s">
        <v>38</v>
      </c>
      <c r="E119" s="3" t="s">
        <v>39</v>
      </c>
      <c r="F119" s="3">
        <v>5</v>
      </c>
      <c r="G119" s="3">
        <v>1</v>
      </c>
      <c r="H119" s="3">
        <v>5</v>
      </c>
      <c r="I119" s="3">
        <v>3</v>
      </c>
      <c r="J119" s="3">
        <v>4</v>
      </c>
      <c r="K119" s="3">
        <v>4</v>
      </c>
      <c r="L119" s="3">
        <v>3</v>
      </c>
      <c r="M119" s="3">
        <v>5</v>
      </c>
      <c r="N119" s="3">
        <v>5</v>
      </c>
      <c r="O119" s="3">
        <v>3</v>
      </c>
      <c r="P119" s="3">
        <v>5</v>
      </c>
      <c r="Q119" s="3">
        <v>1</v>
      </c>
      <c r="R119" s="3">
        <v>3</v>
      </c>
      <c r="S119" s="3">
        <v>4</v>
      </c>
      <c r="T119" s="3">
        <v>2</v>
      </c>
      <c r="U119" s="3">
        <v>5</v>
      </c>
      <c r="V119" s="3">
        <v>4</v>
      </c>
      <c r="W119" s="3">
        <v>4</v>
      </c>
      <c r="X119" s="3">
        <v>4</v>
      </c>
      <c r="Y119" s="3">
        <v>4</v>
      </c>
      <c r="Z119">
        <f t="shared" si="7"/>
        <v>3.6666666666666665</v>
      </c>
      <c r="AA119">
        <f t="shared" si="5"/>
        <v>3.6666666666666665</v>
      </c>
      <c r="AB119">
        <f t="shared" si="6"/>
        <v>4</v>
      </c>
    </row>
    <row r="120" spans="1:28" x14ac:dyDescent="0.35">
      <c r="A120" s="2" t="s">
        <v>42</v>
      </c>
      <c r="B120" s="2" t="s">
        <v>26</v>
      </c>
      <c r="C120" s="2" t="s">
        <v>49</v>
      </c>
      <c r="D120" s="2" t="s">
        <v>45</v>
      </c>
      <c r="E120" s="2" t="s">
        <v>39</v>
      </c>
      <c r="F120" s="2">
        <v>5</v>
      </c>
      <c r="G120" s="2">
        <v>4</v>
      </c>
      <c r="H120" s="2">
        <v>2</v>
      </c>
      <c r="I120" s="2">
        <v>1</v>
      </c>
      <c r="J120" s="2">
        <v>5</v>
      </c>
      <c r="K120" s="2">
        <v>5</v>
      </c>
      <c r="L120" s="2">
        <v>4</v>
      </c>
      <c r="M120" s="2">
        <v>1</v>
      </c>
      <c r="N120" s="2">
        <v>4</v>
      </c>
      <c r="O120" s="2">
        <v>5</v>
      </c>
      <c r="P120" s="2">
        <v>4</v>
      </c>
      <c r="Q120" s="2">
        <v>1</v>
      </c>
      <c r="R120" s="2">
        <v>3</v>
      </c>
      <c r="S120" s="2">
        <v>5</v>
      </c>
      <c r="T120" s="2">
        <v>4</v>
      </c>
      <c r="U120" s="2">
        <v>4</v>
      </c>
      <c r="V120" s="2">
        <v>2</v>
      </c>
      <c r="W120" s="2">
        <v>4</v>
      </c>
      <c r="X120" s="2">
        <v>5</v>
      </c>
      <c r="Y120" s="2">
        <v>5</v>
      </c>
      <c r="Z120">
        <f t="shared" si="7"/>
        <v>3.6666666666666665</v>
      </c>
      <c r="AA120">
        <f t="shared" si="5"/>
        <v>3.6666666666666665</v>
      </c>
      <c r="AB120">
        <f t="shared" si="6"/>
        <v>3.5</v>
      </c>
    </row>
    <row r="121" spans="1:28" x14ac:dyDescent="0.35">
      <c r="A121" s="3" t="s">
        <v>42</v>
      </c>
      <c r="B121" s="3" t="s">
        <v>26</v>
      </c>
      <c r="C121" s="3" t="s">
        <v>62</v>
      </c>
      <c r="D121" s="3" t="s">
        <v>58</v>
      </c>
      <c r="E121" s="3" t="s">
        <v>41</v>
      </c>
      <c r="F121" s="3">
        <v>3</v>
      </c>
      <c r="G121" s="3">
        <v>3</v>
      </c>
      <c r="H121" s="3">
        <v>4</v>
      </c>
      <c r="I121" s="3">
        <v>3</v>
      </c>
      <c r="J121" s="3">
        <v>5</v>
      </c>
      <c r="K121" s="3">
        <v>5</v>
      </c>
      <c r="L121" s="3">
        <v>2</v>
      </c>
      <c r="M121" s="3">
        <v>3</v>
      </c>
      <c r="N121" s="3">
        <v>3</v>
      </c>
      <c r="O121" s="3">
        <v>5</v>
      </c>
      <c r="P121" s="3">
        <v>3</v>
      </c>
      <c r="Q121" s="3">
        <v>5</v>
      </c>
      <c r="R121" s="3">
        <v>4</v>
      </c>
      <c r="S121" s="3">
        <v>3</v>
      </c>
      <c r="T121" s="3">
        <v>5</v>
      </c>
      <c r="U121" s="3">
        <v>5</v>
      </c>
      <c r="V121" s="3">
        <v>5</v>
      </c>
      <c r="W121" s="3">
        <v>5</v>
      </c>
      <c r="X121" s="3">
        <v>4</v>
      </c>
      <c r="Y121" s="3">
        <v>4</v>
      </c>
      <c r="Z121">
        <f t="shared" si="7"/>
        <v>3.3333333333333335</v>
      </c>
      <c r="AA121">
        <f t="shared" si="5"/>
        <v>4.333333333333333</v>
      </c>
      <c r="AB121">
        <f t="shared" si="6"/>
        <v>3.25</v>
      </c>
    </row>
    <row r="122" spans="1:28" x14ac:dyDescent="0.35">
      <c r="A122" s="2" t="s">
        <v>25</v>
      </c>
      <c r="B122" s="2" t="s">
        <v>48</v>
      </c>
      <c r="C122" s="2" t="s">
        <v>55</v>
      </c>
      <c r="D122" s="2" t="s">
        <v>28</v>
      </c>
      <c r="E122" s="2" t="s">
        <v>57</v>
      </c>
      <c r="F122" s="2">
        <v>1</v>
      </c>
      <c r="G122" s="2">
        <v>5</v>
      </c>
      <c r="H122" s="2">
        <v>5</v>
      </c>
      <c r="I122" s="2">
        <v>3</v>
      </c>
      <c r="J122" s="2">
        <v>2</v>
      </c>
      <c r="K122" s="2">
        <v>3</v>
      </c>
      <c r="L122" s="2">
        <v>4</v>
      </c>
      <c r="M122" s="2">
        <v>5</v>
      </c>
      <c r="N122" s="2">
        <v>5</v>
      </c>
      <c r="O122" s="2">
        <v>4</v>
      </c>
      <c r="P122" s="2">
        <v>4</v>
      </c>
      <c r="Q122" s="2">
        <v>3</v>
      </c>
      <c r="R122" s="2">
        <v>5</v>
      </c>
      <c r="S122" s="2">
        <v>4</v>
      </c>
      <c r="T122" s="2">
        <v>4</v>
      </c>
      <c r="U122" s="2">
        <v>4</v>
      </c>
      <c r="V122" s="2">
        <v>3</v>
      </c>
      <c r="W122" s="2">
        <v>4</v>
      </c>
      <c r="X122" s="2">
        <v>5</v>
      </c>
      <c r="Y122" s="2">
        <v>5</v>
      </c>
      <c r="Z122">
        <f t="shared" si="7"/>
        <v>3.6666666666666665</v>
      </c>
      <c r="AA122">
        <f t="shared" si="5"/>
        <v>2.6666666666666665</v>
      </c>
      <c r="AB122">
        <f t="shared" si="6"/>
        <v>4.5</v>
      </c>
    </row>
    <row r="123" spans="1:28" x14ac:dyDescent="0.35">
      <c r="A123" s="3" t="s">
        <v>42</v>
      </c>
      <c r="B123" s="3" t="s">
        <v>43</v>
      </c>
      <c r="C123" s="3" t="s">
        <v>55</v>
      </c>
      <c r="D123" s="3" t="s">
        <v>38</v>
      </c>
      <c r="E123" s="3" t="s">
        <v>41</v>
      </c>
      <c r="F123" s="3">
        <v>3</v>
      </c>
      <c r="G123" s="3">
        <v>4</v>
      </c>
      <c r="H123" s="3">
        <v>2</v>
      </c>
      <c r="I123" s="3">
        <v>1</v>
      </c>
      <c r="J123" s="3">
        <v>5</v>
      </c>
      <c r="K123" s="3">
        <v>2</v>
      </c>
      <c r="L123" s="3">
        <v>4</v>
      </c>
      <c r="M123" s="3">
        <v>5</v>
      </c>
      <c r="N123" s="3">
        <v>5</v>
      </c>
      <c r="O123" s="3">
        <v>5</v>
      </c>
      <c r="P123" s="3">
        <v>5</v>
      </c>
      <c r="Q123" s="3">
        <v>5</v>
      </c>
      <c r="R123" s="3">
        <v>2</v>
      </c>
      <c r="S123" s="3">
        <v>4</v>
      </c>
      <c r="T123" s="3">
        <v>3</v>
      </c>
      <c r="U123" s="3">
        <v>3</v>
      </c>
      <c r="V123" s="3">
        <v>4</v>
      </c>
      <c r="W123" s="3">
        <v>3</v>
      </c>
      <c r="X123" s="3">
        <v>5</v>
      </c>
      <c r="Y123" s="3">
        <v>3</v>
      </c>
      <c r="Z123">
        <f t="shared" si="7"/>
        <v>3</v>
      </c>
      <c r="AA123">
        <f t="shared" si="5"/>
        <v>2.6666666666666665</v>
      </c>
      <c r="AB123">
        <f t="shared" si="6"/>
        <v>4.75</v>
      </c>
    </row>
    <row r="124" spans="1:28" x14ac:dyDescent="0.35">
      <c r="A124" s="2" t="s">
        <v>42</v>
      </c>
      <c r="B124" s="2" t="s">
        <v>53</v>
      </c>
      <c r="C124" s="2" t="s">
        <v>59</v>
      </c>
      <c r="D124" s="2" t="s">
        <v>50</v>
      </c>
      <c r="E124" s="2" t="s">
        <v>51</v>
      </c>
      <c r="F124" s="2">
        <v>3</v>
      </c>
      <c r="G124" s="2">
        <v>5</v>
      </c>
      <c r="H124" s="2">
        <v>3</v>
      </c>
      <c r="I124" s="2">
        <v>3</v>
      </c>
      <c r="J124" s="2">
        <v>5</v>
      </c>
      <c r="K124" s="2">
        <v>4</v>
      </c>
      <c r="L124" s="2">
        <v>5</v>
      </c>
      <c r="M124" s="2">
        <v>4</v>
      </c>
      <c r="N124" s="2">
        <v>4</v>
      </c>
      <c r="O124" s="2">
        <v>5</v>
      </c>
      <c r="P124" s="2">
        <v>3</v>
      </c>
      <c r="Q124" s="2">
        <v>5</v>
      </c>
      <c r="R124" s="2">
        <v>3</v>
      </c>
      <c r="S124" s="2">
        <v>4</v>
      </c>
      <c r="T124" s="2">
        <v>5</v>
      </c>
      <c r="U124" s="2">
        <v>5</v>
      </c>
      <c r="V124" s="2">
        <v>4</v>
      </c>
      <c r="W124" s="2">
        <v>4</v>
      </c>
      <c r="X124" s="2">
        <v>5</v>
      </c>
      <c r="Y124" s="2">
        <v>4</v>
      </c>
      <c r="Z124">
        <f t="shared" si="7"/>
        <v>3.6666666666666665</v>
      </c>
      <c r="AA124">
        <f t="shared" si="5"/>
        <v>4</v>
      </c>
      <c r="AB124">
        <f t="shared" si="6"/>
        <v>4.5</v>
      </c>
    </row>
    <row r="125" spans="1:28" x14ac:dyDescent="0.35">
      <c r="A125" s="3" t="s">
        <v>35</v>
      </c>
      <c r="B125" s="3" t="s">
        <v>36</v>
      </c>
      <c r="C125" s="3" t="s">
        <v>27</v>
      </c>
      <c r="D125" s="3" t="s">
        <v>45</v>
      </c>
      <c r="E125" s="3" t="s">
        <v>39</v>
      </c>
      <c r="F125" s="3">
        <v>5</v>
      </c>
      <c r="G125" s="3">
        <v>4</v>
      </c>
      <c r="H125" s="3">
        <v>4</v>
      </c>
      <c r="I125" s="3">
        <v>2</v>
      </c>
      <c r="J125" s="3">
        <v>5</v>
      </c>
      <c r="K125" s="3">
        <v>4</v>
      </c>
      <c r="L125" s="3">
        <v>3</v>
      </c>
      <c r="M125" s="3">
        <v>2</v>
      </c>
      <c r="N125" s="3">
        <v>5</v>
      </c>
      <c r="O125" s="3">
        <v>4</v>
      </c>
      <c r="P125" s="3">
        <v>2</v>
      </c>
      <c r="Q125" s="3">
        <v>5</v>
      </c>
      <c r="R125" s="3">
        <v>2</v>
      </c>
      <c r="S125" s="3">
        <v>4</v>
      </c>
      <c r="T125" s="3">
        <v>2</v>
      </c>
      <c r="U125" s="3">
        <v>4</v>
      </c>
      <c r="V125" s="3">
        <v>4</v>
      </c>
      <c r="W125" s="3">
        <v>2</v>
      </c>
      <c r="X125" s="3">
        <v>1</v>
      </c>
      <c r="Y125" s="3">
        <v>5</v>
      </c>
      <c r="Z125">
        <f t="shared" si="7"/>
        <v>4.333333333333333</v>
      </c>
      <c r="AA125">
        <f t="shared" si="5"/>
        <v>3.6666666666666665</v>
      </c>
      <c r="AB125">
        <f t="shared" si="6"/>
        <v>3.5</v>
      </c>
    </row>
    <row r="126" spans="1:28" x14ac:dyDescent="0.35">
      <c r="A126" s="2" t="s">
        <v>25</v>
      </c>
      <c r="B126" s="2" t="s">
        <v>48</v>
      </c>
      <c r="C126" s="2" t="s">
        <v>44</v>
      </c>
      <c r="D126" s="2" t="s">
        <v>56</v>
      </c>
      <c r="E126" s="2" t="s">
        <v>39</v>
      </c>
      <c r="F126" s="2">
        <v>4</v>
      </c>
      <c r="G126" s="2">
        <v>5</v>
      </c>
      <c r="H126" s="2">
        <v>4</v>
      </c>
      <c r="I126" s="2">
        <v>3</v>
      </c>
      <c r="J126" s="2">
        <v>1</v>
      </c>
      <c r="K126" s="2">
        <v>4</v>
      </c>
      <c r="L126" s="2">
        <v>3</v>
      </c>
      <c r="M126" s="2">
        <v>5</v>
      </c>
      <c r="N126" s="2">
        <v>5</v>
      </c>
      <c r="O126" s="2">
        <v>4</v>
      </c>
      <c r="P126" s="2">
        <v>4</v>
      </c>
      <c r="Q126" s="2">
        <v>5</v>
      </c>
      <c r="R126" s="2">
        <v>3</v>
      </c>
      <c r="S126" s="2">
        <v>4</v>
      </c>
      <c r="T126" s="2">
        <v>5</v>
      </c>
      <c r="U126" s="2">
        <v>5</v>
      </c>
      <c r="V126" s="2">
        <v>1</v>
      </c>
      <c r="W126" s="2">
        <v>5</v>
      </c>
      <c r="X126" s="2">
        <v>4</v>
      </c>
      <c r="Y126" s="2">
        <v>3</v>
      </c>
      <c r="Z126">
        <f t="shared" si="7"/>
        <v>4.333333333333333</v>
      </c>
      <c r="AA126">
        <f t="shared" si="5"/>
        <v>2.6666666666666665</v>
      </c>
      <c r="AB126">
        <f t="shared" si="6"/>
        <v>4.25</v>
      </c>
    </row>
    <row r="127" spans="1:28" x14ac:dyDescent="0.35">
      <c r="A127" s="3" t="s">
        <v>35</v>
      </c>
      <c r="B127" s="3" t="s">
        <v>26</v>
      </c>
      <c r="C127" s="3" t="s">
        <v>37</v>
      </c>
      <c r="D127" s="3" t="s">
        <v>58</v>
      </c>
      <c r="E127" s="3" t="s">
        <v>57</v>
      </c>
      <c r="F127" s="3">
        <v>3</v>
      </c>
      <c r="G127" s="3">
        <v>4</v>
      </c>
      <c r="H127" s="3">
        <v>2</v>
      </c>
      <c r="I127" s="3">
        <v>3</v>
      </c>
      <c r="J127" s="3">
        <v>4</v>
      </c>
      <c r="K127" s="3">
        <v>2</v>
      </c>
      <c r="L127" s="3">
        <v>4</v>
      </c>
      <c r="M127" s="3">
        <v>3</v>
      </c>
      <c r="N127" s="3">
        <v>1</v>
      </c>
      <c r="O127" s="3">
        <v>5</v>
      </c>
      <c r="P127" s="3">
        <v>5</v>
      </c>
      <c r="Q127" s="3">
        <v>4</v>
      </c>
      <c r="R127" s="3">
        <v>2</v>
      </c>
      <c r="S127" s="3">
        <v>3</v>
      </c>
      <c r="T127" s="3">
        <v>4</v>
      </c>
      <c r="U127" s="3">
        <v>3</v>
      </c>
      <c r="V127" s="3">
        <v>3</v>
      </c>
      <c r="W127" s="3">
        <v>1</v>
      </c>
      <c r="X127" s="3">
        <v>3</v>
      </c>
      <c r="Y127" s="3">
        <v>4</v>
      </c>
      <c r="Z127">
        <f t="shared" si="7"/>
        <v>3</v>
      </c>
      <c r="AA127">
        <f t="shared" si="5"/>
        <v>3</v>
      </c>
      <c r="AB127">
        <f t="shared" si="6"/>
        <v>3.25</v>
      </c>
    </row>
    <row r="128" spans="1:28" x14ac:dyDescent="0.35">
      <c r="A128" s="2" t="s">
        <v>35</v>
      </c>
      <c r="B128" s="2" t="s">
        <v>36</v>
      </c>
      <c r="C128" s="2" t="s">
        <v>62</v>
      </c>
      <c r="D128" s="2" t="s">
        <v>28</v>
      </c>
      <c r="E128" s="2" t="s">
        <v>41</v>
      </c>
      <c r="F128" s="2">
        <v>4</v>
      </c>
      <c r="G128" s="2">
        <v>5</v>
      </c>
      <c r="H128" s="2">
        <v>5</v>
      </c>
      <c r="I128" s="2">
        <v>2</v>
      </c>
      <c r="J128" s="2">
        <v>5</v>
      </c>
      <c r="K128" s="2">
        <v>4</v>
      </c>
      <c r="L128" s="2">
        <v>4</v>
      </c>
      <c r="M128" s="2">
        <v>3</v>
      </c>
      <c r="N128" s="2">
        <v>3</v>
      </c>
      <c r="O128" s="2">
        <v>5</v>
      </c>
      <c r="P128" s="2">
        <v>3</v>
      </c>
      <c r="Q128" s="2">
        <v>5</v>
      </c>
      <c r="R128" s="2">
        <v>2</v>
      </c>
      <c r="S128" s="2">
        <v>4</v>
      </c>
      <c r="T128" s="2">
        <v>4</v>
      </c>
      <c r="U128" s="2">
        <v>4</v>
      </c>
      <c r="V128" s="2">
        <v>5</v>
      </c>
      <c r="W128" s="2">
        <v>4</v>
      </c>
      <c r="X128" s="2">
        <v>4</v>
      </c>
      <c r="Y128" s="2">
        <v>4</v>
      </c>
      <c r="Z128">
        <f t="shared" si="7"/>
        <v>4.666666666666667</v>
      </c>
      <c r="AA128">
        <f t="shared" si="5"/>
        <v>3.6666666666666665</v>
      </c>
      <c r="AB128">
        <f t="shared" si="6"/>
        <v>3.75</v>
      </c>
    </row>
    <row r="129" spans="1:28" x14ac:dyDescent="0.35">
      <c r="A129" s="3" t="s">
        <v>35</v>
      </c>
      <c r="B129" s="3" t="s">
        <v>36</v>
      </c>
      <c r="C129" s="3" t="s">
        <v>54</v>
      </c>
      <c r="D129" s="3" t="s">
        <v>52</v>
      </c>
      <c r="E129" s="3" t="s">
        <v>29</v>
      </c>
      <c r="F129" s="3">
        <v>4</v>
      </c>
      <c r="G129" s="3">
        <v>5</v>
      </c>
      <c r="H129" s="3">
        <v>1</v>
      </c>
      <c r="I129" s="3">
        <v>2</v>
      </c>
      <c r="J129" s="3">
        <v>2</v>
      </c>
      <c r="K129" s="3">
        <v>3</v>
      </c>
      <c r="L129" s="3">
        <v>4</v>
      </c>
      <c r="M129" s="3">
        <v>5</v>
      </c>
      <c r="N129" s="3">
        <v>5</v>
      </c>
      <c r="O129" s="3">
        <v>3</v>
      </c>
      <c r="P129" s="3">
        <v>4</v>
      </c>
      <c r="Q129" s="3">
        <v>2</v>
      </c>
      <c r="R129" s="3">
        <v>4</v>
      </c>
      <c r="S129" s="3">
        <v>4</v>
      </c>
      <c r="T129" s="3">
        <v>4</v>
      </c>
      <c r="U129" s="3">
        <v>4</v>
      </c>
      <c r="V129" s="3">
        <v>4</v>
      </c>
      <c r="W129" s="3">
        <v>4</v>
      </c>
      <c r="X129" s="3">
        <v>4</v>
      </c>
      <c r="Y129" s="3">
        <v>4</v>
      </c>
      <c r="Z129">
        <f t="shared" si="7"/>
        <v>3.3333333333333335</v>
      </c>
      <c r="AA129">
        <f t="shared" si="5"/>
        <v>2.3333333333333335</v>
      </c>
      <c r="AB129">
        <f t="shared" si="6"/>
        <v>4.25</v>
      </c>
    </row>
    <row r="130" spans="1:28" x14ac:dyDescent="0.35">
      <c r="A130" s="2" t="s">
        <v>42</v>
      </c>
      <c r="B130" s="2" t="s">
        <v>36</v>
      </c>
      <c r="C130" s="2" t="s">
        <v>62</v>
      </c>
      <c r="D130" s="2" t="s">
        <v>38</v>
      </c>
      <c r="E130" s="2" t="s">
        <v>41</v>
      </c>
      <c r="F130" s="2">
        <v>4</v>
      </c>
      <c r="G130" s="2">
        <v>4</v>
      </c>
      <c r="H130" s="2">
        <v>4</v>
      </c>
      <c r="I130" s="2">
        <v>3</v>
      </c>
      <c r="J130" s="2">
        <v>5</v>
      </c>
      <c r="K130" s="2">
        <v>5</v>
      </c>
      <c r="L130" s="2">
        <v>4</v>
      </c>
      <c r="M130" s="2">
        <v>4</v>
      </c>
      <c r="N130" s="2">
        <v>2</v>
      </c>
      <c r="O130" s="2">
        <v>5</v>
      </c>
      <c r="P130" s="2">
        <v>2</v>
      </c>
      <c r="Q130" s="2">
        <v>4</v>
      </c>
      <c r="R130" s="2">
        <v>4</v>
      </c>
      <c r="S130" s="2">
        <v>3</v>
      </c>
      <c r="T130" s="2">
        <v>4</v>
      </c>
      <c r="U130" s="2">
        <v>4</v>
      </c>
      <c r="V130" s="2">
        <v>1</v>
      </c>
      <c r="W130" s="2">
        <v>4</v>
      </c>
      <c r="X130" s="2">
        <v>4</v>
      </c>
      <c r="Y130" s="2">
        <v>4</v>
      </c>
      <c r="Z130">
        <f t="shared" ref="Z130:Z151" si="8">AVERAGE(F130:H130)</f>
        <v>4</v>
      </c>
      <c r="AA130">
        <f t="shared" si="5"/>
        <v>4.333333333333333</v>
      </c>
      <c r="AB130">
        <f t="shared" si="6"/>
        <v>3.75</v>
      </c>
    </row>
    <row r="131" spans="1:28" x14ac:dyDescent="0.35">
      <c r="A131" s="3" t="s">
        <v>25</v>
      </c>
      <c r="B131" s="3" t="s">
        <v>26</v>
      </c>
      <c r="C131" s="3" t="s">
        <v>54</v>
      </c>
      <c r="D131" s="3" t="s">
        <v>28</v>
      </c>
      <c r="E131" s="3" t="s">
        <v>41</v>
      </c>
      <c r="F131" s="3">
        <v>1</v>
      </c>
      <c r="G131" s="3">
        <v>4</v>
      </c>
      <c r="H131" s="3">
        <v>4</v>
      </c>
      <c r="I131" s="3">
        <v>3</v>
      </c>
      <c r="J131" s="3">
        <v>5</v>
      </c>
      <c r="K131" s="3">
        <v>5</v>
      </c>
      <c r="L131" s="3">
        <v>3</v>
      </c>
      <c r="M131" s="3">
        <v>4</v>
      </c>
      <c r="N131" s="3">
        <v>3</v>
      </c>
      <c r="O131" s="3">
        <v>2</v>
      </c>
      <c r="P131" s="3">
        <v>4</v>
      </c>
      <c r="Q131" s="3">
        <v>4</v>
      </c>
      <c r="R131" s="3">
        <v>3</v>
      </c>
      <c r="S131" s="3">
        <v>5</v>
      </c>
      <c r="T131" s="3">
        <v>3</v>
      </c>
      <c r="U131" s="3">
        <v>3</v>
      </c>
      <c r="V131" s="3">
        <v>3</v>
      </c>
      <c r="W131" s="3">
        <v>3</v>
      </c>
      <c r="X131" s="3">
        <v>5</v>
      </c>
      <c r="Y131" s="3">
        <v>4</v>
      </c>
      <c r="Z131">
        <f t="shared" si="8"/>
        <v>3</v>
      </c>
      <c r="AA131">
        <f t="shared" ref="AA131:AA151" si="9">AVERAGE(I131:K131)</f>
        <v>4.333333333333333</v>
      </c>
      <c r="AB131">
        <f t="shared" ref="AB131:AB151" si="10">AVERAGE(L131:O131)</f>
        <v>3</v>
      </c>
    </row>
    <row r="132" spans="1:28" x14ac:dyDescent="0.35">
      <c r="A132" s="2" t="s">
        <v>35</v>
      </c>
      <c r="B132" s="2" t="s">
        <v>26</v>
      </c>
      <c r="C132" s="2" t="s">
        <v>55</v>
      </c>
      <c r="D132" s="2" t="s">
        <v>47</v>
      </c>
      <c r="E132" s="2" t="s">
        <v>51</v>
      </c>
      <c r="F132" s="2">
        <v>5</v>
      </c>
      <c r="G132" s="2">
        <v>4</v>
      </c>
      <c r="H132" s="2">
        <v>5</v>
      </c>
      <c r="I132" s="2">
        <v>4</v>
      </c>
      <c r="J132" s="2">
        <v>3</v>
      </c>
      <c r="K132" s="2">
        <v>5</v>
      </c>
      <c r="L132" s="2">
        <v>3</v>
      </c>
      <c r="M132" s="2">
        <v>3</v>
      </c>
      <c r="N132" s="2">
        <v>2</v>
      </c>
      <c r="O132" s="2">
        <v>4</v>
      </c>
      <c r="P132" s="2">
        <v>3</v>
      </c>
      <c r="Q132" s="2">
        <v>4</v>
      </c>
      <c r="R132" s="2">
        <v>1</v>
      </c>
      <c r="S132" s="2">
        <v>1</v>
      </c>
      <c r="T132" s="2">
        <v>2</v>
      </c>
      <c r="U132" s="2">
        <v>5</v>
      </c>
      <c r="V132" s="2">
        <v>4</v>
      </c>
      <c r="W132" s="2">
        <v>2</v>
      </c>
      <c r="X132" s="2">
        <v>4</v>
      </c>
      <c r="Y132" s="2">
        <v>4</v>
      </c>
      <c r="Z132">
        <f t="shared" si="8"/>
        <v>4.666666666666667</v>
      </c>
      <c r="AA132">
        <f t="shared" si="9"/>
        <v>4</v>
      </c>
      <c r="AB132">
        <f t="shared" si="10"/>
        <v>3</v>
      </c>
    </row>
    <row r="133" spans="1:28" x14ac:dyDescent="0.35">
      <c r="A133" s="3" t="s">
        <v>42</v>
      </c>
      <c r="B133" s="3" t="s">
        <v>48</v>
      </c>
      <c r="C133" s="3" t="s">
        <v>60</v>
      </c>
      <c r="D133" s="3" t="s">
        <v>40</v>
      </c>
      <c r="E133" s="3" t="s">
        <v>41</v>
      </c>
      <c r="F133" s="3">
        <v>4</v>
      </c>
      <c r="G133" s="3">
        <v>4</v>
      </c>
      <c r="H133" s="3">
        <v>5</v>
      </c>
      <c r="I133" s="3">
        <v>3</v>
      </c>
      <c r="J133" s="3">
        <v>4</v>
      </c>
      <c r="K133" s="3">
        <v>4</v>
      </c>
      <c r="L133" s="3">
        <v>1</v>
      </c>
      <c r="M133" s="3">
        <v>3</v>
      </c>
      <c r="N133" s="3">
        <v>4</v>
      </c>
      <c r="O133" s="3">
        <v>1</v>
      </c>
      <c r="P133" s="3">
        <v>4</v>
      </c>
      <c r="Q133" s="3">
        <v>5</v>
      </c>
      <c r="R133" s="3">
        <v>3</v>
      </c>
      <c r="S133" s="3">
        <v>5</v>
      </c>
      <c r="T133" s="3">
        <v>4</v>
      </c>
      <c r="U133" s="3">
        <v>3</v>
      </c>
      <c r="V133" s="3">
        <v>3</v>
      </c>
      <c r="W133" s="3">
        <v>5</v>
      </c>
      <c r="X133" s="3">
        <v>4</v>
      </c>
      <c r="Y133" s="3">
        <v>4</v>
      </c>
      <c r="Z133">
        <f t="shared" si="8"/>
        <v>4.333333333333333</v>
      </c>
      <c r="AA133">
        <f t="shared" si="9"/>
        <v>3.6666666666666665</v>
      </c>
      <c r="AB133">
        <f t="shared" si="10"/>
        <v>2.25</v>
      </c>
    </row>
    <row r="134" spans="1:28" x14ac:dyDescent="0.35">
      <c r="A134" s="2" t="s">
        <v>25</v>
      </c>
      <c r="B134" s="2" t="s">
        <v>36</v>
      </c>
      <c r="C134" s="2" t="s">
        <v>55</v>
      </c>
      <c r="D134" s="2" t="s">
        <v>47</v>
      </c>
      <c r="E134" s="2" t="s">
        <v>51</v>
      </c>
      <c r="F134" s="2">
        <v>4</v>
      </c>
      <c r="G134" s="2">
        <v>2</v>
      </c>
      <c r="H134" s="2">
        <v>4</v>
      </c>
      <c r="I134" s="2">
        <v>5</v>
      </c>
      <c r="J134" s="2">
        <v>4</v>
      </c>
      <c r="K134" s="2">
        <v>5</v>
      </c>
      <c r="L134" s="2">
        <v>5</v>
      </c>
      <c r="M134" s="2">
        <v>3</v>
      </c>
      <c r="N134" s="2">
        <v>4</v>
      </c>
      <c r="O134" s="2">
        <v>1</v>
      </c>
      <c r="P134" s="2">
        <v>3</v>
      </c>
      <c r="Q134" s="2">
        <v>4</v>
      </c>
      <c r="R134" s="2">
        <v>4</v>
      </c>
      <c r="S134" s="2">
        <v>4</v>
      </c>
      <c r="T134" s="2">
        <v>2</v>
      </c>
      <c r="U134" s="2">
        <v>5</v>
      </c>
      <c r="V134" s="2">
        <v>5</v>
      </c>
      <c r="W134" s="2">
        <v>4</v>
      </c>
      <c r="X134" s="2">
        <v>5</v>
      </c>
      <c r="Y134" s="2">
        <v>4</v>
      </c>
      <c r="Z134">
        <f t="shared" si="8"/>
        <v>3.3333333333333335</v>
      </c>
      <c r="AA134">
        <f t="shared" si="9"/>
        <v>4.666666666666667</v>
      </c>
      <c r="AB134">
        <f t="shared" si="10"/>
        <v>3.25</v>
      </c>
    </row>
    <row r="135" spans="1:28" x14ac:dyDescent="0.35">
      <c r="A135" s="3" t="s">
        <v>42</v>
      </c>
      <c r="B135" s="3" t="s">
        <v>26</v>
      </c>
      <c r="C135" s="3" t="s">
        <v>54</v>
      </c>
      <c r="D135" s="3" t="s">
        <v>61</v>
      </c>
      <c r="E135" s="3" t="s">
        <v>39</v>
      </c>
      <c r="F135" s="3">
        <v>2</v>
      </c>
      <c r="G135" s="3">
        <v>4</v>
      </c>
      <c r="H135" s="3">
        <v>5</v>
      </c>
      <c r="I135" s="3">
        <v>4</v>
      </c>
      <c r="J135" s="3">
        <v>3</v>
      </c>
      <c r="K135" s="3">
        <v>5</v>
      </c>
      <c r="L135" s="3">
        <v>3</v>
      </c>
      <c r="M135" s="3">
        <v>4</v>
      </c>
      <c r="N135" s="3">
        <v>5</v>
      </c>
      <c r="O135" s="3">
        <v>3</v>
      </c>
      <c r="P135" s="3">
        <v>2</v>
      </c>
      <c r="Q135" s="3">
        <v>1</v>
      </c>
      <c r="R135" s="3">
        <v>5</v>
      </c>
      <c r="S135" s="3">
        <v>3</v>
      </c>
      <c r="T135" s="3">
        <v>3</v>
      </c>
      <c r="U135" s="3">
        <v>5</v>
      </c>
      <c r="V135" s="3">
        <v>5</v>
      </c>
      <c r="W135" s="3">
        <v>4</v>
      </c>
      <c r="X135" s="3">
        <v>4</v>
      </c>
      <c r="Y135" s="3">
        <v>4</v>
      </c>
      <c r="Z135">
        <f t="shared" si="8"/>
        <v>3.6666666666666665</v>
      </c>
      <c r="AA135">
        <f t="shared" si="9"/>
        <v>4</v>
      </c>
      <c r="AB135">
        <f t="shared" si="10"/>
        <v>3.75</v>
      </c>
    </row>
    <row r="136" spans="1:28" x14ac:dyDescent="0.35">
      <c r="A136" s="2" t="s">
        <v>42</v>
      </c>
      <c r="B136" s="2" t="s">
        <v>53</v>
      </c>
      <c r="C136" s="2" t="s">
        <v>55</v>
      </c>
      <c r="D136" s="2" t="s">
        <v>50</v>
      </c>
      <c r="E136" s="2" t="s">
        <v>41</v>
      </c>
      <c r="F136" s="2">
        <v>4</v>
      </c>
      <c r="G136" s="2">
        <v>3</v>
      </c>
      <c r="H136" s="2">
        <v>4</v>
      </c>
      <c r="I136" s="2">
        <v>3</v>
      </c>
      <c r="J136" s="2">
        <v>4</v>
      </c>
      <c r="K136" s="2">
        <v>3</v>
      </c>
      <c r="L136" s="2">
        <v>3</v>
      </c>
      <c r="M136" s="2">
        <v>5</v>
      </c>
      <c r="N136" s="2">
        <v>5</v>
      </c>
      <c r="O136" s="2">
        <v>5</v>
      </c>
      <c r="P136" s="2">
        <v>4</v>
      </c>
      <c r="Q136" s="2">
        <v>4</v>
      </c>
      <c r="R136" s="2">
        <v>1</v>
      </c>
      <c r="S136" s="2">
        <v>5</v>
      </c>
      <c r="T136" s="2">
        <v>1</v>
      </c>
      <c r="U136" s="2">
        <v>4</v>
      </c>
      <c r="V136" s="2">
        <v>5</v>
      </c>
      <c r="W136" s="2">
        <v>4</v>
      </c>
      <c r="X136" s="2">
        <v>4</v>
      </c>
      <c r="Y136" s="2">
        <v>3</v>
      </c>
      <c r="Z136">
        <f t="shared" si="8"/>
        <v>3.6666666666666665</v>
      </c>
      <c r="AA136">
        <f t="shared" si="9"/>
        <v>3.3333333333333335</v>
      </c>
      <c r="AB136">
        <f t="shared" si="10"/>
        <v>4.5</v>
      </c>
    </row>
    <row r="137" spans="1:28" x14ac:dyDescent="0.35">
      <c r="A137" s="3" t="s">
        <v>42</v>
      </c>
      <c r="B137" s="3" t="s">
        <v>48</v>
      </c>
      <c r="C137" s="3" t="s">
        <v>27</v>
      </c>
      <c r="D137" s="3" t="s">
        <v>52</v>
      </c>
      <c r="E137" s="3" t="s">
        <v>29</v>
      </c>
      <c r="F137" s="3">
        <v>5</v>
      </c>
      <c r="G137" s="3">
        <v>5</v>
      </c>
      <c r="H137" s="3">
        <v>4</v>
      </c>
      <c r="I137" s="3">
        <v>2</v>
      </c>
      <c r="J137" s="3">
        <v>2</v>
      </c>
      <c r="K137" s="3">
        <v>3</v>
      </c>
      <c r="L137" s="3">
        <v>2</v>
      </c>
      <c r="M137" s="3">
        <v>4</v>
      </c>
      <c r="N137" s="3">
        <v>5</v>
      </c>
      <c r="O137" s="3">
        <v>1</v>
      </c>
      <c r="P137" s="3">
        <v>4</v>
      </c>
      <c r="Q137" s="3">
        <v>4</v>
      </c>
      <c r="R137" s="3">
        <v>5</v>
      </c>
      <c r="S137" s="3">
        <v>4</v>
      </c>
      <c r="T137" s="3">
        <v>3</v>
      </c>
      <c r="U137" s="3">
        <v>5</v>
      </c>
      <c r="V137" s="3">
        <v>4</v>
      </c>
      <c r="W137" s="3">
        <v>4</v>
      </c>
      <c r="X137" s="3">
        <v>5</v>
      </c>
      <c r="Y137" s="3">
        <v>5</v>
      </c>
      <c r="Z137">
        <f t="shared" si="8"/>
        <v>4.666666666666667</v>
      </c>
      <c r="AA137">
        <f t="shared" si="9"/>
        <v>2.3333333333333335</v>
      </c>
      <c r="AB137">
        <f t="shared" si="10"/>
        <v>3</v>
      </c>
    </row>
    <row r="138" spans="1:28" x14ac:dyDescent="0.35">
      <c r="A138" s="2" t="s">
        <v>42</v>
      </c>
      <c r="B138" s="2" t="s">
        <v>43</v>
      </c>
      <c r="C138" s="2" t="s">
        <v>49</v>
      </c>
      <c r="D138" s="2" t="s">
        <v>40</v>
      </c>
      <c r="E138" s="2" t="s">
        <v>51</v>
      </c>
      <c r="F138" s="2">
        <v>5</v>
      </c>
      <c r="G138" s="2">
        <v>4</v>
      </c>
      <c r="H138" s="2">
        <v>2</v>
      </c>
      <c r="I138" s="2">
        <v>4</v>
      </c>
      <c r="J138" s="2">
        <v>2</v>
      </c>
      <c r="K138" s="2">
        <v>5</v>
      </c>
      <c r="L138" s="2">
        <v>4</v>
      </c>
      <c r="M138" s="2">
        <v>2</v>
      </c>
      <c r="N138" s="2">
        <v>5</v>
      </c>
      <c r="O138" s="2">
        <v>5</v>
      </c>
      <c r="P138" s="2">
        <v>3</v>
      </c>
      <c r="Q138" s="2">
        <v>4</v>
      </c>
      <c r="R138" s="2">
        <v>3</v>
      </c>
      <c r="S138" s="2">
        <v>4</v>
      </c>
      <c r="T138" s="2">
        <v>4</v>
      </c>
      <c r="U138" s="2">
        <v>5</v>
      </c>
      <c r="V138" s="2">
        <v>4</v>
      </c>
      <c r="W138" s="2">
        <v>4</v>
      </c>
      <c r="X138" s="2">
        <v>4</v>
      </c>
      <c r="Y138" s="2">
        <v>5</v>
      </c>
      <c r="Z138">
        <f t="shared" si="8"/>
        <v>3.6666666666666665</v>
      </c>
      <c r="AA138">
        <f t="shared" si="9"/>
        <v>3.6666666666666665</v>
      </c>
      <c r="AB138">
        <f t="shared" si="10"/>
        <v>4</v>
      </c>
    </row>
    <row r="139" spans="1:28" x14ac:dyDescent="0.35">
      <c r="A139" s="3" t="s">
        <v>35</v>
      </c>
      <c r="B139" s="3" t="s">
        <v>43</v>
      </c>
      <c r="C139" s="3" t="s">
        <v>55</v>
      </c>
      <c r="D139" s="3" t="s">
        <v>50</v>
      </c>
      <c r="E139" s="3" t="s">
        <v>51</v>
      </c>
      <c r="F139" s="3">
        <v>4</v>
      </c>
      <c r="G139" s="3">
        <v>4</v>
      </c>
      <c r="H139" s="3">
        <v>5</v>
      </c>
      <c r="I139" s="3">
        <v>4</v>
      </c>
      <c r="J139" s="3">
        <v>5</v>
      </c>
      <c r="K139" s="3">
        <v>3</v>
      </c>
      <c r="L139" s="3">
        <v>4</v>
      </c>
      <c r="M139" s="3">
        <v>3</v>
      </c>
      <c r="N139" s="3">
        <v>2</v>
      </c>
      <c r="O139" s="3">
        <v>5</v>
      </c>
      <c r="P139" s="3">
        <v>3</v>
      </c>
      <c r="Q139" s="3">
        <v>2</v>
      </c>
      <c r="R139" s="3">
        <v>2</v>
      </c>
      <c r="S139" s="3">
        <v>4</v>
      </c>
      <c r="T139" s="3">
        <v>4</v>
      </c>
      <c r="U139" s="3">
        <v>3</v>
      </c>
      <c r="V139" s="3">
        <v>3</v>
      </c>
      <c r="W139" s="3">
        <v>3</v>
      </c>
      <c r="X139" s="3">
        <v>4</v>
      </c>
      <c r="Y139" s="3">
        <v>5</v>
      </c>
      <c r="Z139">
        <f t="shared" si="8"/>
        <v>4.333333333333333</v>
      </c>
      <c r="AA139">
        <f t="shared" si="9"/>
        <v>4</v>
      </c>
      <c r="AB139">
        <f t="shared" si="10"/>
        <v>3.5</v>
      </c>
    </row>
    <row r="140" spans="1:28" x14ac:dyDescent="0.35">
      <c r="A140" s="2" t="s">
        <v>42</v>
      </c>
      <c r="B140" s="2" t="s">
        <v>48</v>
      </c>
      <c r="C140" s="2" t="s">
        <v>62</v>
      </c>
      <c r="D140" s="2" t="s">
        <v>47</v>
      </c>
      <c r="E140" s="2" t="s">
        <v>51</v>
      </c>
      <c r="F140" s="2">
        <v>4</v>
      </c>
      <c r="G140" s="2">
        <v>5</v>
      </c>
      <c r="H140" s="2">
        <v>1</v>
      </c>
      <c r="I140" s="2">
        <v>4</v>
      </c>
      <c r="J140" s="2">
        <v>4</v>
      </c>
      <c r="K140" s="2">
        <v>5</v>
      </c>
      <c r="L140" s="2">
        <v>2</v>
      </c>
      <c r="M140" s="2">
        <v>1</v>
      </c>
      <c r="N140" s="2">
        <v>1</v>
      </c>
      <c r="O140" s="2">
        <v>3</v>
      </c>
      <c r="P140" s="2">
        <v>4</v>
      </c>
      <c r="Q140" s="2">
        <v>2</v>
      </c>
      <c r="R140" s="2">
        <v>2</v>
      </c>
      <c r="S140" s="2">
        <v>4</v>
      </c>
      <c r="T140" s="2">
        <v>5</v>
      </c>
      <c r="U140" s="2">
        <v>5</v>
      </c>
      <c r="V140" s="2">
        <v>1</v>
      </c>
      <c r="W140" s="2">
        <v>4</v>
      </c>
      <c r="X140" s="2">
        <v>4</v>
      </c>
      <c r="Y140" s="2">
        <v>4</v>
      </c>
      <c r="Z140">
        <f t="shared" si="8"/>
        <v>3.3333333333333335</v>
      </c>
      <c r="AA140">
        <f t="shared" si="9"/>
        <v>4.333333333333333</v>
      </c>
      <c r="AB140">
        <f t="shared" si="10"/>
        <v>1.75</v>
      </c>
    </row>
    <row r="141" spans="1:28" x14ac:dyDescent="0.35">
      <c r="A141" s="3" t="s">
        <v>25</v>
      </c>
      <c r="B141" s="3" t="s">
        <v>26</v>
      </c>
      <c r="C141" s="3" t="s">
        <v>59</v>
      </c>
      <c r="D141" s="3" t="s">
        <v>28</v>
      </c>
      <c r="E141" s="3" t="s">
        <v>41</v>
      </c>
      <c r="F141" s="3">
        <v>3</v>
      </c>
      <c r="G141" s="3">
        <v>2</v>
      </c>
      <c r="H141" s="3">
        <v>3</v>
      </c>
      <c r="I141" s="3">
        <v>5</v>
      </c>
      <c r="J141" s="3">
        <v>3</v>
      </c>
      <c r="K141" s="3">
        <v>3</v>
      </c>
      <c r="L141" s="3">
        <v>5</v>
      </c>
      <c r="M141" s="3">
        <v>2</v>
      </c>
      <c r="N141" s="3">
        <v>4</v>
      </c>
      <c r="O141" s="3">
        <v>1</v>
      </c>
      <c r="P141" s="3">
        <v>5</v>
      </c>
      <c r="Q141" s="3">
        <v>4</v>
      </c>
      <c r="R141" s="3">
        <v>3</v>
      </c>
      <c r="S141" s="3">
        <v>2</v>
      </c>
      <c r="T141" s="3">
        <v>2</v>
      </c>
      <c r="U141" s="3">
        <v>3</v>
      </c>
      <c r="V141" s="3">
        <v>4</v>
      </c>
      <c r="W141" s="3">
        <v>4</v>
      </c>
      <c r="X141" s="3">
        <v>5</v>
      </c>
      <c r="Y141" s="3">
        <v>5</v>
      </c>
      <c r="Z141">
        <f t="shared" si="8"/>
        <v>2.6666666666666665</v>
      </c>
      <c r="AA141">
        <f t="shared" si="9"/>
        <v>3.6666666666666665</v>
      </c>
      <c r="AB141">
        <f t="shared" si="10"/>
        <v>3</v>
      </c>
    </row>
    <row r="142" spans="1:28" x14ac:dyDescent="0.35">
      <c r="A142" s="2" t="s">
        <v>25</v>
      </c>
      <c r="B142" s="2" t="s">
        <v>43</v>
      </c>
      <c r="C142" s="2" t="s">
        <v>54</v>
      </c>
      <c r="D142" s="2" t="s">
        <v>58</v>
      </c>
      <c r="E142" s="2" t="s">
        <v>41</v>
      </c>
      <c r="F142" s="2">
        <v>4</v>
      </c>
      <c r="G142" s="2">
        <v>3</v>
      </c>
      <c r="H142" s="2">
        <v>4</v>
      </c>
      <c r="I142" s="2">
        <v>5</v>
      </c>
      <c r="J142" s="2">
        <v>4</v>
      </c>
      <c r="K142" s="2">
        <v>4</v>
      </c>
      <c r="L142" s="2">
        <v>4</v>
      </c>
      <c r="M142" s="2">
        <v>3</v>
      </c>
      <c r="N142" s="2">
        <v>2</v>
      </c>
      <c r="O142" s="2">
        <v>4</v>
      </c>
      <c r="P142" s="2">
        <v>3</v>
      </c>
      <c r="Q142" s="2">
        <v>2</v>
      </c>
      <c r="R142" s="2">
        <v>5</v>
      </c>
      <c r="S142" s="2">
        <v>2</v>
      </c>
      <c r="T142" s="2">
        <v>1</v>
      </c>
      <c r="U142" s="2">
        <v>4</v>
      </c>
      <c r="V142" s="2">
        <v>4</v>
      </c>
      <c r="W142" s="2">
        <v>4</v>
      </c>
      <c r="X142" s="2">
        <v>5</v>
      </c>
      <c r="Y142" s="2">
        <v>4</v>
      </c>
      <c r="Z142">
        <f t="shared" si="8"/>
        <v>3.6666666666666665</v>
      </c>
      <c r="AA142">
        <f t="shared" si="9"/>
        <v>4.333333333333333</v>
      </c>
      <c r="AB142">
        <f t="shared" si="10"/>
        <v>3.25</v>
      </c>
    </row>
    <row r="143" spans="1:28" x14ac:dyDescent="0.35">
      <c r="A143" s="3" t="s">
        <v>25</v>
      </c>
      <c r="B143" s="3" t="s">
        <v>48</v>
      </c>
      <c r="C143" s="3" t="s">
        <v>60</v>
      </c>
      <c r="D143" s="3" t="s">
        <v>38</v>
      </c>
      <c r="E143" s="3" t="s">
        <v>41</v>
      </c>
      <c r="F143" s="3">
        <v>2</v>
      </c>
      <c r="G143" s="3">
        <v>3</v>
      </c>
      <c r="H143" s="3">
        <v>5</v>
      </c>
      <c r="I143" s="3">
        <v>5</v>
      </c>
      <c r="J143" s="3">
        <v>2</v>
      </c>
      <c r="K143" s="3">
        <v>4</v>
      </c>
      <c r="L143" s="3">
        <v>5</v>
      </c>
      <c r="M143" s="3">
        <v>4</v>
      </c>
      <c r="N143" s="3">
        <v>4</v>
      </c>
      <c r="O143" s="3">
        <v>2</v>
      </c>
      <c r="P143" s="3">
        <v>4</v>
      </c>
      <c r="Q143" s="3">
        <v>1</v>
      </c>
      <c r="R143" s="3">
        <v>4</v>
      </c>
      <c r="S143" s="3">
        <v>4</v>
      </c>
      <c r="T143" s="3">
        <v>2</v>
      </c>
      <c r="U143" s="3">
        <v>4</v>
      </c>
      <c r="V143" s="3">
        <v>4</v>
      </c>
      <c r="W143" s="3">
        <v>5</v>
      </c>
      <c r="X143" s="3">
        <v>5</v>
      </c>
      <c r="Y143" s="3">
        <v>1</v>
      </c>
      <c r="Z143">
        <f t="shared" si="8"/>
        <v>3.3333333333333335</v>
      </c>
      <c r="AA143">
        <f t="shared" si="9"/>
        <v>3.6666666666666665</v>
      </c>
      <c r="AB143">
        <f t="shared" si="10"/>
        <v>3.75</v>
      </c>
    </row>
    <row r="144" spans="1:28" x14ac:dyDescent="0.35">
      <c r="A144" s="2" t="s">
        <v>25</v>
      </c>
      <c r="B144" s="2" t="s">
        <v>36</v>
      </c>
      <c r="C144" s="2" t="s">
        <v>49</v>
      </c>
      <c r="D144" s="2" t="s">
        <v>50</v>
      </c>
      <c r="E144" s="2" t="s">
        <v>57</v>
      </c>
      <c r="F144" s="2">
        <v>1</v>
      </c>
      <c r="G144" s="2">
        <v>3</v>
      </c>
      <c r="H144" s="2">
        <v>4</v>
      </c>
      <c r="I144" s="2">
        <v>3</v>
      </c>
      <c r="J144" s="2">
        <v>5</v>
      </c>
      <c r="K144" s="2">
        <v>5</v>
      </c>
      <c r="L144" s="2">
        <v>3</v>
      </c>
      <c r="M144" s="2">
        <v>4</v>
      </c>
      <c r="N144" s="2">
        <v>3</v>
      </c>
      <c r="O144" s="2">
        <v>5</v>
      </c>
      <c r="P144" s="2">
        <v>4</v>
      </c>
      <c r="Q144" s="2">
        <v>3</v>
      </c>
      <c r="R144" s="2">
        <v>4</v>
      </c>
      <c r="S144" s="2">
        <v>5</v>
      </c>
      <c r="T144" s="2">
        <v>5</v>
      </c>
      <c r="U144" s="2">
        <v>3</v>
      </c>
      <c r="V144" s="2">
        <v>2</v>
      </c>
      <c r="W144" s="2">
        <v>4</v>
      </c>
      <c r="X144" s="2">
        <v>3</v>
      </c>
      <c r="Y144" s="2">
        <v>5</v>
      </c>
      <c r="Z144">
        <f t="shared" si="8"/>
        <v>2.6666666666666665</v>
      </c>
      <c r="AA144">
        <f t="shared" si="9"/>
        <v>4.333333333333333</v>
      </c>
      <c r="AB144">
        <f t="shared" si="10"/>
        <v>3.75</v>
      </c>
    </row>
    <row r="145" spans="1:28" x14ac:dyDescent="0.35">
      <c r="A145" s="3" t="s">
        <v>35</v>
      </c>
      <c r="B145" s="3" t="s">
        <v>43</v>
      </c>
      <c r="C145" s="3" t="s">
        <v>62</v>
      </c>
      <c r="D145" s="3" t="s">
        <v>58</v>
      </c>
      <c r="E145" s="3" t="s">
        <v>39</v>
      </c>
      <c r="F145" s="3">
        <v>5</v>
      </c>
      <c r="G145" s="3">
        <v>3</v>
      </c>
      <c r="H145" s="3">
        <v>2</v>
      </c>
      <c r="I145" s="3">
        <v>4</v>
      </c>
      <c r="J145" s="3">
        <v>4</v>
      </c>
      <c r="K145" s="3">
        <v>4</v>
      </c>
      <c r="L145" s="3">
        <v>5</v>
      </c>
      <c r="M145" s="3">
        <v>4</v>
      </c>
      <c r="N145" s="3">
        <v>5</v>
      </c>
      <c r="O145" s="3">
        <v>1</v>
      </c>
      <c r="P145" s="3">
        <v>5</v>
      </c>
      <c r="Q145" s="3">
        <v>4</v>
      </c>
      <c r="R145" s="3">
        <v>3</v>
      </c>
      <c r="S145" s="3">
        <v>3</v>
      </c>
      <c r="T145" s="3">
        <v>2</v>
      </c>
      <c r="U145" s="3">
        <v>5</v>
      </c>
      <c r="V145" s="3">
        <v>3</v>
      </c>
      <c r="W145" s="3">
        <v>4</v>
      </c>
      <c r="X145" s="3">
        <v>5</v>
      </c>
      <c r="Y145" s="3">
        <v>2</v>
      </c>
      <c r="Z145">
        <f t="shared" si="8"/>
        <v>3.3333333333333335</v>
      </c>
      <c r="AA145">
        <f t="shared" si="9"/>
        <v>4</v>
      </c>
      <c r="AB145">
        <f t="shared" si="10"/>
        <v>3.75</v>
      </c>
    </row>
    <row r="146" spans="1:28" x14ac:dyDescent="0.35">
      <c r="A146" s="2" t="s">
        <v>35</v>
      </c>
      <c r="B146" s="2" t="s">
        <v>36</v>
      </c>
      <c r="C146" s="2" t="s">
        <v>60</v>
      </c>
      <c r="D146" s="2" t="s">
        <v>58</v>
      </c>
      <c r="E146" s="2" t="s">
        <v>57</v>
      </c>
      <c r="F146" s="2">
        <v>5</v>
      </c>
      <c r="G146" s="2">
        <v>4</v>
      </c>
      <c r="H146" s="2">
        <v>1</v>
      </c>
      <c r="I146" s="2">
        <v>1</v>
      </c>
      <c r="J146" s="2">
        <v>2</v>
      </c>
      <c r="K146" s="2">
        <v>4</v>
      </c>
      <c r="L146" s="2">
        <v>5</v>
      </c>
      <c r="M146" s="2">
        <v>3</v>
      </c>
      <c r="N146" s="2">
        <v>3</v>
      </c>
      <c r="O146" s="2">
        <v>3</v>
      </c>
      <c r="P146" s="2">
        <v>1</v>
      </c>
      <c r="Q146" s="2">
        <v>4</v>
      </c>
      <c r="R146" s="2">
        <v>5</v>
      </c>
      <c r="S146" s="2">
        <v>4</v>
      </c>
      <c r="T146" s="2">
        <v>4</v>
      </c>
      <c r="U146" s="2">
        <v>5</v>
      </c>
      <c r="V146" s="2">
        <v>5</v>
      </c>
      <c r="W146" s="2">
        <v>4</v>
      </c>
      <c r="X146" s="2">
        <v>5</v>
      </c>
      <c r="Y146" s="2">
        <v>3</v>
      </c>
      <c r="Z146">
        <f t="shared" si="8"/>
        <v>3.3333333333333335</v>
      </c>
      <c r="AA146">
        <f t="shared" si="9"/>
        <v>2.3333333333333335</v>
      </c>
      <c r="AB146">
        <f t="shared" si="10"/>
        <v>3.5</v>
      </c>
    </row>
    <row r="147" spans="1:28" x14ac:dyDescent="0.35">
      <c r="A147" s="3" t="s">
        <v>35</v>
      </c>
      <c r="B147" s="3" t="s">
        <v>43</v>
      </c>
      <c r="C147" s="3" t="s">
        <v>55</v>
      </c>
      <c r="D147" s="3" t="s">
        <v>40</v>
      </c>
      <c r="E147" s="3" t="s">
        <v>39</v>
      </c>
      <c r="F147" s="3">
        <v>4</v>
      </c>
      <c r="G147" s="3">
        <v>3</v>
      </c>
      <c r="H147" s="3">
        <v>5</v>
      </c>
      <c r="I147" s="3">
        <v>4</v>
      </c>
      <c r="J147" s="3">
        <v>4</v>
      </c>
      <c r="K147" s="3">
        <v>4</v>
      </c>
      <c r="L147" s="3">
        <v>2</v>
      </c>
      <c r="M147" s="3">
        <v>4</v>
      </c>
      <c r="N147" s="3">
        <v>5</v>
      </c>
      <c r="O147" s="3">
        <v>4</v>
      </c>
      <c r="P147" s="3">
        <v>5</v>
      </c>
      <c r="Q147" s="3">
        <v>5</v>
      </c>
      <c r="R147" s="3">
        <v>3</v>
      </c>
      <c r="S147" s="3">
        <v>5</v>
      </c>
      <c r="T147" s="3">
        <v>4</v>
      </c>
      <c r="U147" s="3">
        <v>4</v>
      </c>
      <c r="V147" s="3">
        <v>1</v>
      </c>
      <c r="W147" s="3">
        <v>4</v>
      </c>
      <c r="X147" s="3">
        <v>4</v>
      </c>
      <c r="Y147" s="3">
        <v>5</v>
      </c>
      <c r="Z147">
        <f t="shared" si="8"/>
        <v>4</v>
      </c>
      <c r="AA147">
        <f t="shared" si="9"/>
        <v>4</v>
      </c>
      <c r="AB147">
        <f t="shared" si="10"/>
        <v>3.75</v>
      </c>
    </row>
    <row r="148" spans="1:28" x14ac:dyDescent="0.35">
      <c r="A148" s="2" t="s">
        <v>42</v>
      </c>
      <c r="B148" s="2" t="s">
        <v>26</v>
      </c>
      <c r="C148" s="2" t="s">
        <v>59</v>
      </c>
      <c r="D148" s="2" t="s">
        <v>45</v>
      </c>
      <c r="E148" s="2" t="s">
        <v>57</v>
      </c>
      <c r="F148" s="2">
        <v>4</v>
      </c>
      <c r="G148" s="2">
        <v>2</v>
      </c>
      <c r="H148" s="2">
        <v>2</v>
      </c>
      <c r="I148" s="2">
        <v>5</v>
      </c>
      <c r="J148" s="2">
        <v>2</v>
      </c>
      <c r="K148" s="2">
        <v>5</v>
      </c>
      <c r="L148" s="2">
        <v>2</v>
      </c>
      <c r="M148" s="2">
        <v>5</v>
      </c>
      <c r="N148" s="2">
        <v>4</v>
      </c>
      <c r="O148" s="2">
        <v>5</v>
      </c>
      <c r="P148" s="2">
        <v>4</v>
      </c>
      <c r="Q148" s="2">
        <v>5</v>
      </c>
      <c r="R148" s="2">
        <v>2</v>
      </c>
      <c r="S148" s="2">
        <v>2</v>
      </c>
      <c r="T148" s="2">
        <v>2</v>
      </c>
      <c r="U148" s="2">
        <v>5</v>
      </c>
      <c r="V148" s="2">
        <v>5</v>
      </c>
      <c r="W148" s="2">
        <v>5</v>
      </c>
      <c r="X148" s="2">
        <v>4</v>
      </c>
      <c r="Y148" s="2">
        <v>2</v>
      </c>
      <c r="Z148">
        <f t="shared" si="8"/>
        <v>2.6666666666666665</v>
      </c>
      <c r="AA148">
        <f t="shared" si="9"/>
        <v>4</v>
      </c>
      <c r="AB148">
        <f t="shared" si="10"/>
        <v>4</v>
      </c>
    </row>
    <row r="149" spans="1:28" x14ac:dyDescent="0.35">
      <c r="A149" s="3" t="s">
        <v>42</v>
      </c>
      <c r="B149" s="3" t="s">
        <v>48</v>
      </c>
      <c r="C149" s="3" t="s">
        <v>54</v>
      </c>
      <c r="D149" s="3" t="s">
        <v>47</v>
      </c>
      <c r="E149" s="3" t="s">
        <v>29</v>
      </c>
      <c r="F149" s="3">
        <v>3</v>
      </c>
      <c r="G149" s="3">
        <v>2</v>
      </c>
      <c r="H149" s="3">
        <v>5</v>
      </c>
      <c r="I149" s="3">
        <v>2</v>
      </c>
      <c r="J149" s="3">
        <v>3</v>
      </c>
      <c r="K149" s="3">
        <v>3</v>
      </c>
      <c r="L149" s="3">
        <v>4</v>
      </c>
      <c r="M149" s="3">
        <v>5</v>
      </c>
      <c r="N149" s="3">
        <v>3</v>
      </c>
      <c r="O149" s="3">
        <v>5</v>
      </c>
      <c r="P149" s="3">
        <v>5</v>
      </c>
      <c r="Q149" s="3">
        <v>5</v>
      </c>
      <c r="R149" s="3">
        <v>1</v>
      </c>
      <c r="S149" s="3">
        <v>4</v>
      </c>
      <c r="T149" s="3">
        <v>2</v>
      </c>
      <c r="U149" s="3">
        <v>2</v>
      </c>
      <c r="V149" s="3">
        <v>4</v>
      </c>
      <c r="W149" s="3">
        <v>4</v>
      </c>
      <c r="X149" s="3">
        <v>4</v>
      </c>
      <c r="Y149" s="3">
        <v>4</v>
      </c>
      <c r="Z149">
        <f t="shared" si="8"/>
        <v>3.3333333333333335</v>
      </c>
      <c r="AA149">
        <f t="shared" si="9"/>
        <v>2.6666666666666665</v>
      </c>
      <c r="AB149">
        <f t="shared" si="10"/>
        <v>4.25</v>
      </c>
    </row>
    <row r="150" spans="1:28" x14ac:dyDescent="0.35">
      <c r="A150" s="2" t="s">
        <v>25</v>
      </c>
      <c r="B150" s="2" t="s">
        <v>36</v>
      </c>
      <c r="C150" s="2" t="s">
        <v>44</v>
      </c>
      <c r="D150" s="2" t="s">
        <v>56</v>
      </c>
      <c r="E150" s="2" t="s">
        <v>29</v>
      </c>
      <c r="F150" s="2">
        <v>3</v>
      </c>
      <c r="G150" s="2">
        <v>4</v>
      </c>
      <c r="H150" s="2">
        <v>5</v>
      </c>
      <c r="I150" s="2">
        <v>3</v>
      </c>
      <c r="J150" s="2">
        <v>4</v>
      </c>
      <c r="K150" s="2">
        <v>5</v>
      </c>
      <c r="L150" s="2">
        <v>3</v>
      </c>
      <c r="M150" s="2">
        <v>2</v>
      </c>
      <c r="N150" s="2">
        <v>4</v>
      </c>
      <c r="O150" s="2">
        <v>5</v>
      </c>
      <c r="P150" s="2">
        <v>3</v>
      </c>
      <c r="Q150" s="2">
        <v>4</v>
      </c>
      <c r="R150" s="2">
        <v>3</v>
      </c>
      <c r="S150" s="2">
        <v>4</v>
      </c>
      <c r="T150" s="2">
        <v>4</v>
      </c>
      <c r="U150" s="2">
        <v>3</v>
      </c>
      <c r="V150" s="2">
        <v>5</v>
      </c>
      <c r="W150" s="2">
        <v>4</v>
      </c>
      <c r="X150" s="2">
        <v>4</v>
      </c>
      <c r="Y150" s="2">
        <v>2</v>
      </c>
      <c r="Z150">
        <f t="shared" si="8"/>
        <v>4</v>
      </c>
      <c r="AA150">
        <f t="shared" si="9"/>
        <v>4</v>
      </c>
      <c r="AB150">
        <f t="shared" si="10"/>
        <v>3.5</v>
      </c>
    </row>
    <row r="151" spans="1:28" x14ac:dyDescent="0.35">
      <c r="A151" s="3" t="s">
        <v>35</v>
      </c>
      <c r="B151" s="3" t="s">
        <v>36</v>
      </c>
      <c r="C151" s="3" t="s">
        <v>46</v>
      </c>
      <c r="D151" s="3" t="s">
        <v>38</v>
      </c>
      <c r="E151" s="3" t="s">
        <v>29</v>
      </c>
      <c r="F151" s="3">
        <v>4</v>
      </c>
      <c r="G151" s="3">
        <v>5</v>
      </c>
      <c r="H151" s="3">
        <v>5</v>
      </c>
      <c r="I151" s="3">
        <v>3</v>
      </c>
      <c r="J151" s="3">
        <v>5</v>
      </c>
      <c r="K151" s="3">
        <v>4</v>
      </c>
      <c r="L151" s="3">
        <v>3</v>
      </c>
      <c r="M151" s="3">
        <v>5</v>
      </c>
      <c r="N151" s="3">
        <v>2</v>
      </c>
      <c r="O151" s="3">
        <v>4</v>
      </c>
      <c r="P151" s="3">
        <v>3</v>
      </c>
      <c r="Q151" s="3">
        <v>1</v>
      </c>
      <c r="R151" s="3">
        <v>4</v>
      </c>
      <c r="S151" s="3">
        <v>4</v>
      </c>
      <c r="T151" s="3">
        <v>4</v>
      </c>
      <c r="U151" s="3">
        <v>4</v>
      </c>
      <c r="V151" s="3">
        <v>3</v>
      </c>
      <c r="W151" s="3">
        <v>1</v>
      </c>
      <c r="X151" s="3">
        <v>5</v>
      </c>
      <c r="Y151" s="3">
        <v>5</v>
      </c>
      <c r="Z151">
        <f t="shared" si="8"/>
        <v>4.666666666666667</v>
      </c>
      <c r="AA151">
        <f t="shared" si="9"/>
        <v>4</v>
      </c>
      <c r="AB151">
        <f t="shared" si="10"/>
        <v>3.5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DA90-AEB0-497C-A371-5393F982864D}">
  <dimension ref="B3:J20"/>
  <sheetViews>
    <sheetView tabSelected="1" workbookViewId="0">
      <selection activeCell="D2" sqref="D2"/>
    </sheetView>
  </sheetViews>
  <sheetFormatPr defaultRowHeight="14.5" x14ac:dyDescent="0.35"/>
  <cols>
    <col min="2" max="2" width="17.26953125" bestFit="1" customWidth="1"/>
    <col min="3" max="3" width="12.453125" bestFit="1" customWidth="1"/>
    <col min="4" max="4" width="13.54296875" bestFit="1" customWidth="1"/>
    <col min="5" max="5" width="12.453125" bestFit="1" customWidth="1"/>
    <col min="6" max="6" width="11.81640625" bestFit="1" customWidth="1"/>
    <col min="7" max="7" width="12.453125" bestFit="1" customWidth="1"/>
    <col min="8" max="8" width="11.81640625" bestFit="1" customWidth="1"/>
    <col min="9" max="9" width="12.453125" bestFit="1" customWidth="1"/>
    <col min="10" max="10" width="12" bestFit="1" customWidth="1"/>
  </cols>
  <sheetData>
    <row r="3" spans="2:7" x14ac:dyDescent="0.35">
      <c r="B3" t="s">
        <v>123</v>
      </c>
    </row>
    <row r="4" spans="2:7" ht="15" thickBot="1" x14ac:dyDescent="0.4"/>
    <row r="5" spans="2:7" x14ac:dyDescent="0.35">
      <c r="B5" s="21" t="s">
        <v>124</v>
      </c>
      <c r="C5" s="21"/>
    </row>
    <row r="6" spans="2:7" x14ac:dyDescent="0.35">
      <c r="B6" t="s">
        <v>125</v>
      </c>
      <c r="C6">
        <v>0.95307566250445097</v>
      </c>
    </row>
    <row r="7" spans="2:7" x14ac:dyDescent="0.35">
      <c r="B7" t="s">
        <v>126</v>
      </c>
      <c r="C7">
        <v>0.90340303222499196</v>
      </c>
    </row>
    <row r="8" spans="2:7" x14ac:dyDescent="0.35">
      <c r="B8" t="s">
        <v>127</v>
      </c>
      <c r="C8">
        <v>0.89510013410547196</v>
      </c>
    </row>
    <row r="9" spans="2:7" x14ac:dyDescent="0.35">
      <c r="B9" t="s">
        <v>128</v>
      </c>
      <c r="C9">
        <v>142.628221794577</v>
      </c>
    </row>
    <row r="10" spans="2:7" ht="15" thickBot="1" x14ac:dyDescent="0.4">
      <c r="B10" s="14" t="s">
        <v>129</v>
      </c>
      <c r="C10" s="14">
        <v>150</v>
      </c>
    </row>
    <row r="12" spans="2:7" ht="15" thickBot="1" x14ac:dyDescent="0.4">
      <c r="B12" t="s">
        <v>130</v>
      </c>
    </row>
    <row r="13" spans="2:7" x14ac:dyDescent="0.35">
      <c r="B13" s="15"/>
      <c r="C13" s="15" t="s">
        <v>134</v>
      </c>
      <c r="D13" s="15" t="s">
        <v>135</v>
      </c>
      <c r="E13" s="15" t="s">
        <v>136</v>
      </c>
      <c r="F13" s="15" t="s">
        <v>137</v>
      </c>
      <c r="G13" s="15" t="s">
        <v>138</v>
      </c>
    </row>
    <row r="14" spans="2:7" x14ac:dyDescent="0.35">
      <c r="B14" t="s">
        <v>131</v>
      </c>
      <c r="C14">
        <v>1</v>
      </c>
      <c r="D14">
        <v>45.8211149580343</v>
      </c>
      <c r="E14">
        <v>45.820511149580298</v>
      </c>
      <c r="F14">
        <v>142.62822180000001</v>
      </c>
      <c r="G14">
        <v>1E-8</v>
      </c>
    </row>
    <row r="15" spans="2:7" x14ac:dyDescent="0.35">
      <c r="B15" t="s">
        <v>132</v>
      </c>
      <c r="C15">
        <v>148</v>
      </c>
      <c r="D15">
        <v>47.5671572183753</v>
      </c>
      <c r="E15">
        <v>0.32172683907941202</v>
      </c>
    </row>
    <row r="16" spans="2:7" ht="15" thickBot="1" x14ac:dyDescent="0.4">
      <c r="B16" s="14" t="s">
        <v>108</v>
      </c>
      <c r="C16" s="14">
        <v>149</v>
      </c>
      <c r="D16" s="14">
        <v>93.382083333333298</v>
      </c>
      <c r="E16" s="14"/>
      <c r="F16" s="14"/>
      <c r="G16" s="14"/>
    </row>
    <row r="17" spans="2:10" ht="15" thickBot="1" x14ac:dyDescent="0.4"/>
    <row r="18" spans="2:10" x14ac:dyDescent="0.35">
      <c r="B18" s="15"/>
      <c r="C18" s="15" t="s">
        <v>139</v>
      </c>
      <c r="D18" s="15" t="s">
        <v>128</v>
      </c>
      <c r="E18" s="15" t="s">
        <v>140</v>
      </c>
      <c r="F18" s="15" t="s">
        <v>141</v>
      </c>
      <c r="G18" s="15" t="s">
        <v>142</v>
      </c>
      <c r="H18" s="15" t="s">
        <v>143</v>
      </c>
      <c r="I18" s="15" t="s">
        <v>144</v>
      </c>
      <c r="J18" s="15" t="s">
        <v>145</v>
      </c>
    </row>
    <row r="19" spans="2:10" x14ac:dyDescent="0.35">
      <c r="B19" t="s">
        <v>133</v>
      </c>
      <c r="C19">
        <v>1.8219608760892601</v>
      </c>
      <c r="D19">
        <v>0.24518378942146199</v>
      </c>
      <c r="E19">
        <v>7.5891985256858998</v>
      </c>
      <c r="F19">
        <v>0</v>
      </c>
      <c r="G19">
        <v>3.058880325127229</v>
      </c>
      <c r="H19">
        <v>4.2650414270512922</v>
      </c>
      <c r="I19">
        <v>3.058880325127229</v>
      </c>
      <c r="J19">
        <v>4.2650414270512922</v>
      </c>
    </row>
    <row r="20" spans="2:10" ht="15" thickBot="1" x14ac:dyDescent="0.4">
      <c r="B20" s="14" t="s">
        <v>120</v>
      </c>
      <c r="C20" s="14">
        <v>0.71952409796120598</v>
      </c>
      <c r="D20" s="14">
        <v>6.99250100030086E-3</v>
      </c>
      <c r="E20" s="14">
        <v>11.944280206664599</v>
      </c>
      <c r="F20" s="14">
        <v>0</v>
      </c>
      <c r="G20" s="14">
        <v>0.58746570803045495</v>
      </c>
      <c r="H20" s="14">
        <v>0.84741751210804195</v>
      </c>
      <c r="I20" s="14">
        <v>0.58177465708030396</v>
      </c>
      <c r="J20" s="14">
        <v>0.84384175121080396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72F3-54D4-4AA2-A29E-7F3316B32E3C}">
  <dimension ref="B3:O23"/>
  <sheetViews>
    <sheetView workbookViewId="0">
      <selection activeCell="F20" sqref="F20"/>
    </sheetView>
  </sheetViews>
  <sheetFormatPr defaultRowHeight="14.5" x14ac:dyDescent="0.35"/>
  <sheetData>
    <row r="3" spans="2:15" x14ac:dyDescent="0.35">
      <c r="B3" s="13"/>
      <c r="C3" t="s">
        <v>109</v>
      </c>
    </row>
    <row r="4" spans="2:15" x14ac:dyDescent="0.35">
      <c r="B4" s="11" t="s">
        <v>5</v>
      </c>
      <c r="C4" s="12">
        <f>AVERAGE('Survey Responses'!F2:F151)</f>
        <v>3.54</v>
      </c>
    </row>
    <row r="5" spans="2:15" x14ac:dyDescent="0.35">
      <c r="B5" s="11" t="s">
        <v>6</v>
      </c>
      <c r="C5" s="12">
        <f>AVERAGE('Survey Responses'!G2:G151)</f>
        <v>3.8533333333333335</v>
      </c>
    </row>
    <row r="6" spans="2:15" x14ac:dyDescent="0.35">
      <c r="B6" s="11" t="s">
        <v>7</v>
      </c>
      <c r="C6" s="12">
        <f>AVERAGE('Survey Responses'!H2:H151)</f>
        <v>3.92</v>
      </c>
      <c r="E6" t="s">
        <v>110</v>
      </c>
    </row>
    <row r="7" spans="2:15" x14ac:dyDescent="0.35">
      <c r="B7" s="11" t="s">
        <v>8</v>
      </c>
      <c r="C7" s="12">
        <f>AVERAGE('Survey Responses'!I2:I151)</f>
        <v>3.4066666666666667</v>
      </c>
      <c r="E7" s="30" t="s">
        <v>111</v>
      </c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2:15" x14ac:dyDescent="0.35">
      <c r="B8" s="11" t="s">
        <v>9</v>
      </c>
      <c r="C8" s="12">
        <f>AVERAGE('Survey Responses'!J2:J151)</f>
        <v>3.72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spans="2:15" x14ac:dyDescent="0.35">
      <c r="B9" s="11" t="s">
        <v>10</v>
      </c>
      <c r="C9" s="12">
        <f>AVERAGE('Survey Responses'!K2:K151)</f>
        <v>3.9933333333333332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2:15" x14ac:dyDescent="0.35">
      <c r="B10" s="11" t="s">
        <v>11</v>
      </c>
      <c r="C10" s="12">
        <f>AVERAGE('Survey Responses'!L2:L151)</f>
        <v>3.5266666666666668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 spans="2:15" x14ac:dyDescent="0.35">
      <c r="B11" s="11" t="s">
        <v>12</v>
      </c>
      <c r="C11" s="12">
        <f>AVERAGEA('Survey Responses'!M2:M151)</f>
        <v>3.4333333333333331</v>
      </c>
    </row>
    <row r="12" spans="2:15" ht="15" thickBot="1" x14ac:dyDescent="0.4">
      <c r="B12" s="11" t="s">
        <v>13</v>
      </c>
      <c r="C12" s="12">
        <f>AVERAGE('Survey Responses'!N2:N151)</f>
        <v>3.9</v>
      </c>
    </row>
    <row r="13" spans="2:15" x14ac:dyDescent="0.35">
      <c r="B13" s="11" t="s">
        <v>14</v>
      </c>
      <c r="C13" s="12">
        <f>AVERAGE('Survey Responses'!O2:O151)</f>
        <v>3.4933333333333332</v>
      </c>
      <c r="E13" s="15"/>
      <c r="F13" s="15"/>
    </row>
    <row r="14" spans="2:15" ht="15" thickBot="1" x14ac:dyDescent="0.4">
      <c r="B14" s="11" t="s">
        <v>15</v>
      </c>
      <c r="C14" s="12">
        <f>AVERAGE('Survey Responses'!P2:P151)</f>
        <v>3.7</v>
      </c>
      <c r="E14" s="14"/>
      <c r="F14" s="14"/>
    </row>
    <row r="15" spans="2:15" x14ac:dyDescent="0.35">
      <c r="B15" s="11" t="s">
        <v>16</v>
      </c>
      <c r="C15" s="12">
        <f>AVERAGE('Survey Responses'!Q2:Q151)</f>
        <v>3.8</v>
      </c>
    </row>
    <row r="16" spans="2:15" x14ac:dyDescent="0.35">
      <c r="B16" s="11" t="s">
        <v>17</v>
      </c>
      <c r="C16" s="12">
        <f>AVERAGE('Survey Responses'!R2:R151)</f>
        <v>3.1866666666666665</v>
      </c>
    </row>
    <row r="17" spans="2:3" x14ac:dyDescent="0.35">
      <c r="B17" s="11" t="s">
        <v>18</v>
      </c>
      <c r="C17" s="12">
        <f>AVERAGE('Survey Responses'!S2:S151)</f>
        <v>3.5133333333333332</v>
      </c>
    </row>
    <row r="18" spans="2:3" x14ac:dyDescent="0.35">
      <c r="B18" s="11" t="s">
        <v>19</v>
      </c>
      <c r="C18" s="12">
        <f>AVERAGE('Survey Responses'!T2:T151)</f>
        <v>3.48</v>
      </c>
    </row>
    <row r="19" spans="2:3" x14ac:dyDescent="0.35">
      <c r="B19" s="11" t="s">
        <v>20</v>
      </c>
      <c r="C19" s="12">
        <f>AVERAGE('Survey Responses'!U2:U151)</f>
        <v>3.8933333333333335</v>
      </c>
    </row>
    <row r="20" spans="2:3" x14ac:dyDescent="0.35">
      <c r="B20" s="11" t="s">
        <v>21</v>
      </c>
      <c r="C20" s="12">
        <f>AVERAGE('Survey Responses'!V2:V151)</f>
        <v>3.5266666666666668</v>
      </c>
    </row>
    <row r="21" spans="2:3" x14ac:dyDescent="0.35">
      <c r="B21" s="11" t="s">
        <v>22</v>
      </c>
      <c r="C21" s="12">
        <f>AVERAGE('Survey Responses'!W2:W151)</f>
        <v>3.6733333333333333</v>
      </c>
    </row>
    <row r="22" spans="2:3" x14ac:dyDescent="0.35">
      <c r="B22" s="11" t="s">
        <v>23</v>
      </c>
      <c r="C22" s="12">
        <f>AVERAGE('Survey Responses'!X2:X151)</f>
        <v>3.9533333333333331</v>
      </c>
    </row>
    <row r="23" spans="2:3" x14ac:dyDescent="0.35">
      <c r="B23" s="11" t="s">
        <v>24</v>
      </c>
      <c r="C23" s="12">
        <f>AVERAGE('Survey Responses'!Y2:Y151)</f>
        <v>3.9466666666666668</v>
      </c>
    </row>
  </sheetData>
  <mergeCells count="1">
    <mergeCell ref="E7:O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2866-CC55-46FE-A90E-751FCCFF3299}">
  <dimension ref="A1:V44"/>
  <sheetViews>
    <sheetView topLeftCell="A23" zoomScale="90" zoomScaleNormal="90" workbookViewId="0">
      <selection activeCell="P43" sqref="P43"/>
    </sheetView>
  </sheetViews>
  <sheetFormatPr defaultRowHeight="14.5" x14ac:dyDescent="0.35"/>
  <sheetData>
    <row r="1" spans="1:21" x14ac:dyDescent="0.35">
      <c r="A1" s="15"/>
      <c r="B1" s="15" t="s">
        <v>5</v>
      </c>
      <c r="C1" s="15" t="s">
        <v>6</v>
      </c>
      <c r="D1" s="15" t="s">
        <v>7</v>
      </c>
      <c r="E1" s="15" t="s">
        <v>8</v>
      </c>
      <c r="F1" s="15" t="s">
        <v>9</v>
      </c>
      <c r="G1" s="15" t="s">
        <v>10</v>
      </c>
      <c r="H1" s="15" t="s">
        <v>11</v>
      </c>
      <c r="I1" s="15" t="s">
        <v>12</v>
      </c>
      <c r="J1" s="15" t="s">
        <v>13</v>
      </c>
      <c r="K1" s="15" t="s">
        <v>14</v>
      </c>
      <c r="L1" s="15" t="s">
        <v>15</v>
      </c>
      <c r="M1" s="15" t="s">
        <v>16</v>
      </c>
      <c r="N1" s="15" t="s">
        <v>17</v>
      </c>
      <c r="O1" s="15" t="s">
        <v>18</v>
      </c>
      <c r="P1" s="15" t="s">
        <v>19</v>
      </c>
      <c r="Q1" s="15" t="s">
        <v>20</v>
      </c>
      <c r="R1" s="15" t="s">
        <v>21</v>
      </c>
      <c r="S1" s="15" t="s">
        <v>22</v>
      </c>
      <c r="T1" s="15" t="s">
        <v>23</v>
      </c>
      <c r="U1" s="15" t="s">
        <v>24</v>
      </c>
    </row>
    <row r="2" spans="1:21" x14ac:dyDescent="0.35">
      <c r="A2" t="s">
        <v>5</v>
      </c>
      <c r="B2">
        <v>1</v>
      </c>
    </row>
    <row r="3" spans="1:21" x14ac:dyDescent="0.35">
      <c r="A3" t="s">
        <v>6</v>
      </c>
      <c r="B3">
        <v>1.0330364616043603E-2</v>
      </c>
      <c r="C3">
        <v>1</v>
      </c>
    </row>
    <row r="4" spans="1:21" x14ac:dyDescent="0.35">
      <c r="A4" t="s">
        <v>7</v>
      </c>
      <c r="B4">
        <v>-0.1296806390013546</v>
      </c>
      <c r="C4">
        <v>-0.10738936685305812</v>
      </c>
      <c r="D4">
        <v>1</v>
      </c>
    </row>
    <row r="5" spans="1:21" x14ac:dyDescent="0.35">
      <c r="A5" t="s">
        <v>8</v>
      </c>
      <c r="B5">
        <v>-6.8400707967792629E-2</v>
      </c>
      <c r="C5">
        <v>-6.5201668947757863E-2</v>
      </c>
      <c r="D5">
        <v>8.7211939435403577E-2</v>
      </c>
      <c r="E5">
        <v>1</v>
      </c>
    </row>
    <row r="6" spans="1:21" x14ac:dyDescent="0.35">
      <c r="A6" t="s">
        <v>9</v>
      </c>
      <c r="B6">
        <v>-1.6822462927778389E-2</v>
      </c>
      <c r="C6">
        <v>-0.17620118268647772</v>
      </c>
      <c r="D6">
        <v>1.7363169759132345E-2</v>
      </c>
      <c r="E6">
        <v>-5.0298335958901784E-2</v>
      </c>
      <c r="F6">
        <v>1</v>
      </c>
    </row>
    <row r="7" spans="1:21" x14ac:dyDescent="0.35">
      <c r="A7" t="s">
        <v>10</v>
      </c>
      <c r="B7">
        <v>-4.9293547709372214E-2</v>
      </c>
      <c r="C7">
        <v>-4.238993006712518E-2</v>
      </c>
      <c r="D7">
        <v>-2.7865032675488843E-2</v>
      </c>
      <c r="E7">
        <v>9.7493204007346387E-2</v>
      </c>
      <c r="F7">
        <v>-3.4348874603743883E-2</v>
      </c>
      <c r="G7">
        <v>1</v>
      </c>
    </row>
    <row r="8" spans="1:21" x14ac:dyDescent="0.35">
      <c r="A8" t="s">
        <v>11</v>
      </c>
      <c r="B8">
        <v>-3.6946802441034467E-2</v>
      </c>
      <c r="C8">
        <v>-2.4923487969623893E-2</v>
      </c>
      <c r="D8">
        <v>8.5231261238675041E-2</v>
      </c>
      <c r="E8">
        <v>-6.1153814559572681E-2</v>
      </c>
      <c r="F8">
        <v>-5.1450870818519227E-2</v>
      </c>
      <c r="G8">
        <v>-0.14655381467123757</v>
      </c>
      <c r="H8">
        <v>1</v>
      </c>
    </row>
    <row r="9" spans="1:21" x14ac:dyDescent="0.35">
      <c r="A9" t="s">
        <v>12</v>
      </c>
      <c r="B9">
        <v>-0.10733510868928929</v>
      </c>
      <c r="C9">
        <v>-9.6245532574997544E-2</v>
      </c>
      <c r="D9">
        <v>3.7492077889409739E-2</v>
      </c>
      <c r="E9">
        <v>4.665165088937729E-2</v>
      </c>
      <c r="F9">
        <v>-7.6593508633933646E-2</v>
      </c>
      <c r="G9">
        <v>-0.16025034761398749</v>
      </c>
      <c r="H9">
        <v>-0.11596991504214675</v>
      </c>
      <c r="I9">
        <v>1</v>
      </c>
    </row>
    <row r="10" spans="1:21" x14ac:dyDescent="0.35">
      <c r="A10" t="s">
        <v>13</v>
      </c>
      <c r="B10">
        <v>-7.4580164057530554E-2</v>
      </c>
      <c r="C10">
        <v>-6.6635832169173584E-2</v>
      </c>
      <c r="D10">
        <v>8.9909310660162584E-2</v>
      </c>
      <c r="E10">
        <v>-9.2670523811652951E-3</v>
      </c>
      <c r="F10">
        <v>-0.1067769597214049</v>
      </c>
      <c r="G10">
        <v>-7.5871942359380828E-2</v>
      </c>
      <c r="H10">
        <v>5.4591875864554044E-2</v>
      </c>
      <c r="I10">
        <v>0.2148323759238438</v>
      </c>
      <c r="J10">
        <v>1</v>
      </c>
    </row>
    <row r="11" spans="1:21" x14ac:dyDescent="0.35">
      <c r="A11" t="s">
        <v>14</v>
      </c>
      <c r="B11">
        <v>1.8385666378213295E-4</v>
      </c>
      <c r="C11">
        <v>9.2894987193651232E-2</v>
      </c>
      <c r="D11">
        <v>1.6962176675442458E-2</v>
      </c>
      <c r="E11">
        <v>2.8858075350433856E-2</v>
      </c>
      <c r="F11">
        <v>0.19726896298739671</v>
      </c>
      <c r="G11">
        <v>-4.2206580889954229E-2</v>
      </c>
      <c r="H11">
        <v>-6.6009081864181002E-2</v>
      </c>
      <c r="I11">
        <v>-2.7571431257192899E-4</v>
      </c>
      <c r="J11">
        <v>-0.15351430654147821</v>
      </c>
      <c r="K11">
        <v>1</v>
      </c>
    </row>
    <row r="12" spans="1:21" x14ac:dyDescent="0.35">
      <c r="A12" t="s">
        <v>15</v>
      </c>
      <c r="B12">
        <v>-8.5515760282164843E-2</v>
      </c>
      <c r="C12">
        <v>-7.4617180121794802E-2</v>
      </c>
      <c r="D12">
        <v>-2.5192008236773575E-2</v>
      </c>
      <c r="E12">
        <v>0.12850338941988812</v>
      </c>
      <c r="F12">
        <v>-3.0580882168104447E-2</v>
      </c>
      <c r="G12">
        <v>-0.10863663430378454</v>
      </c>
      <c r="H12">
        <v>2.2121513622490308E-2</v>
      </c>
      <c r="I12">
        <v>0.10730349654629727</v>
      </c>
      <c r="J12">
        <v>0.29780106689549635</v>
      </c>
      <c r="K12">
        <v>-0.16743512486845324</v>
      </c>
      <c r="L12">
        <v>1</v>
      </c>
    </row>
    <row r="13" spans="1:21" x14ac:dyDescent="0.35">
      <c r="A13" t="s">
        <v>16</v>
      </c>
      <c r="B13">
        <v>-0.15036872031318615</v>
      </c>
      <c r="C13">
        <v>6.9858556736417457E-2</v>
      </c>
      <c r="D13">
        <v>-6.840374247112857E-2</v>
      </c>
      <c r="E13">
        <v>-8.623400798571984E-2</v>
      </c>
      <c r="F13">
        <v>-8.2418298399616022E-2</v>
      </c>
      <c r="G13">
        <v>-2.2876622340262755E-2</v>
      </c>
      <c r="H13">
        <v>-0.19291609771110238</v>
      </c>
      <c r="I13">
        <v>5.4482079068542216E-2</v>
      </c>
      <c r="J13">
        <v>3.510989038028637E-2</v>
      </c>
      <c r="K13">
        <v>6.7888993540127757E-2</v>
      </c>
      <c r="L13">
        <v>-4.1055454882995424E-17</v>
      </c>
      <c r="M13">
        <v>1</v>
      </c>
    </row>
    <row r="14" spans="1:21" x14ac:dyDescent="0.35">
      <c r="A14" t="s">
        <v>17</v>
      </c>
      <c r="B14">
        <v>9.3813230532631912E-3</v>
      </c>
      <c r="C14">
        <v>3.1020580291410218E-2</v>
      </c>
      <c r="D14">
        <v>-2.7058570997942892E-2</v>
      </c>
      <c r="E14">
        <v>5.2679617945893036E-2</v>
      </c>
      <c r="F14">
        <v>-7.4947884838921786E-4</v>
      </c>
      <c r="G14">
        <v>-2.5927076752621334E-2</v>
      </c>
      <c r="H14">
        <v>4.2327236694059932E-2</v>
      </c>
      <c r="I14">
        <v>-7.2437180137103332E-2</v>
      </c>
      <c r="J14">
        <v>1.3888471993852463E-2</v>
      </c>
      <c r="K14">
        <v>-0.16917486004231044</v>
      </c>
      <c r="L14">
        <v>-0.10540781228600424</v>
      </c>
      <c r="M14">
        <v>-1.8659033007162459E-3</v>
      </c>
      <c r="N14">
        <v>1</v>
      </c>
    </row>
    <row r="15" spans="1:21" x14ac:dyDescent="0.35">
      <c r="A15" t="s">
        <v>18</v>
      </c>
      <c r="B15">
        <v>-8.7584052344059624E-2</v>
      </c>
      <c r="C15">
        <v>9.2776604406104426E-2</v>
      </c>
      <c r="D15">
        <v>9.4552458109817453E-2</v>
      </c>
      <c r="E15">
        <v>3.9340402954030226E-2</v>
      </c>
      <c r="F15">
        <v>0.11485970140490533</v>
      </c>
      <c r="G15">
        <v>-9.9418257650048095E-2</v>
      </c>
      <c r="H15">
        <v>3.8128732421043372E-2</v>
      </c>
      <c r="I15">
        <v>9.6975224362010545E-2</v>
      </c>
      <c r="J15">
        <v>-3.6150908714058717E-2</v>
      </c>
      <c r="K15">
        <v>-0.10176000230417637</v>
      </c>
      <c r="L15">
        <v>5.4229802713781604E-2</v>
      </c>
      <c r="M15">
        <v>-0.10991097663963142</v>
      </c>
      <c r="N15">
        <v>9.9605576393718628E-2</v>
      </c>
      <c r="O15">
        <v>1</v>
      </c>
    </row>
    <row r="16" spans="1:21" x14ac:dyDescent="0.35">
      <c r="A16" t="s">
        <v>19</v>
      </c>
      <c r="B16">
        <v>4.7850344785363902E-2</v>
      </c>
      <c r="C16">
        <v>0.10377500819628302</v>
      </c>
      <c r="D16">
        <v>8.7956437472188856E-2</v>
      </c>
      <c r="E16">
        <v>7.3928601132135204E-3</v>
      </c>
      <c r="F16">
        <v>8.5041951888821063E-2</v>
      </c>
      <c r="G16">
        <v>9.9424836175871362E-2</v>
      </c>
      <c r="H16">
        <v>-0.13081691507692467</v>
      </c>
      <c r="I16">
        <v>-9.4447120087080852E-2</v>
      </c>
      <c r="J16">
        <v>-8.3659401837415312E-2</v>
      </c>
      <c r="K16">
        <v>4.2195572649871733E-2</v>
      </c>
      <c r="L16">
        <v>-4.7900814556916263E-2</v>
      </c>
      <c r="M16">
        <v>6.8068813284505092E-2</v>
      </c>
      <c r="N16">
        <v>-2.8149995400792223E-2</v>
      </c>
      <c r="O16">
        <v>6.5635714829075015E-2</v>
      </c>
      <c r="P16">
        <v>1</v>
      </c>
    </row>
    <row r="17" spans="1:22" x14ac:dyDescent="0.35">
      <c r="A17" t="s">
        <v>20</v>
      </c>
      <c r="B17">
        <v>7.2141808905662921E-2</v>
      </c>
      <c r="C17">
        <v>4.8424229004464761E-2</v>
      </c>
      <c r="D17">
        <v>-0.20077486133103289</v>
      </c>
      <c r="E17">
        <v>6.9461456433090749E-2</v>
      </c>
      <c r="F17">
        <v>-2.0723214436437841E-2</v>
      </c>
      <c r="G17">
        <v>4.1986315699349679E-2</v>
      </c>
      <c r="H17">
        <v>8.3191639716694701E-2</v>
      </c>
      <c r="I17">
        <v>-0.15104514781912132</v>
      </c>
      <c r="J17">
        <v>9.5024999236234947E-2</v>
      </c>
      <c r="K17">
        <v>0.1590046425556588</v>
      </c>
      <c r="L17">
        <v>-2.5491634009473598E-2</v>
      </c>
      <c r="M17">
        <v>-9.3050823259482135E-2</v>
      </c>
      <c r="N17">
        <v>1.8161168084585871E-2</v>
      </c>
      <c r="O17">
        <v>-0.16276275165545184</v>
      </c>
      <c r="P17">
        <v>-3.1596810878617244E-2</v>
      </c>
      <c r="Q17">
        <v>1</v>
      </c>
    </row>
    <row r="18" spans="1:22" x14ac:dyDescent="0.35">
      <c r="A18" t="s">
        <v>21</v>
      </c>
      <c r="B18">
        <v>7.1455425652877713E-2</v>
      </c>
      <c r="C18">
        <v>-4.7749514243206684E-2</v>
      </c>
      <c r="D18">
        <v>7.6556548475764069E-2</v>
      </c>
      <c r="E18">
        <v>-9.6330755431154862E-3</v>
      </c>
      <c r="F18">
        <v>-2.2826484822066798E-2</v>
      </c>
      <c r="G18">
        <v>-0.14239543278417593</v>
      </c>
      <c r="H18">
        <v>3.2741433978280797E-2</v>
      </c>
      <c r="I18">
        <v>-2.3463653869479486E-2</v>
      </c>
      <c r="J18">
        <v>0.10351958903745573</v>
      </c>
      <c r="K18">
        <v>-8.8992736654517859E-2</v>
      </c>
      <c r="L18">
        <v>-3.9203009297198603E-2</v>
      </c>
      <c r="M18">
        <v>8.3845829143514104E-3</v>
      </c>
      <c r="N18">
        <v>-1.2652604071741911E-2</v>
      </c>
      <c r="O18">
        <v>-6.233328328687171E-2</v>
      </c>
      <c r="P18">
        <v>-7.8218644091780351E-2</v>
      </c>
      <c r="Q18">
        <v>-0.1117835098774954</v>
      </c>
      <c r="R18">
        <v>1</v>
      </c>
    </row>
    <row r="19" spans="1:22" x14ac:dyDescent="0.35">
      <c r="A19" t="s">
        <v>22</v>
      </c>
      <c r="B19">
        <v>-6.9821141844668935E-2</v>
      </c>
      <c r="C19">
        <v>-8.4969911679426482E-2</v>
      </c>
      <c r="D19">
        <v>-4.4661390605827385E-3</v>
      </c>
      <c r="E19">
        <v>0.1074703546682179</v>
      </c>
      <c r="F19">
        <v>-0.21647274952828563</v>
      </c>
      <c r="G19">
        <v>-3.5216371654428535E-2</v>
      </c>
      <c r="H19">
        <v>-4.8722052858527584E-2</v>
      </c>
      <c r="I19">
        <v>0.16347569846198334</v>
      </c>
      <c r="J19">
        <v>5.1257624638196262E-4</v>
      </c>
      <c r="K19">
        <v>0.1017554864795448</v>
      </c>
      <c r="L19">
        <v>1.8339720328572718E-2</v>
      </c>
      <c r="M19">
        <v>0.13111732670319406</v>
      </c>
      <c r="N19">
        <v>1.9767662161117659E-2</v>
      </c>
      <c r="O19">
        <v>-6.5902417225982224E-2</v>
      </c>
      <c r="P19">
        <v>-6.6852278942273304E-3</v>
      </c>
      <c r="Q19">
        <v>4.1300995854363816E-2</v>
      </c>
      <c r="R19">
        <v>-1.0440965012944574E-2</v>
      </c>
      <c r="S19">
        <v>1</v>
      </c>
    </row>
    <row r="20" spans="1:22" x14ac:dyDescent="0.35">
      <c r="A20" t="s">
        <v>23</v>
      </c>
      <c r="B20">
        <v>0.13998244046032471</v>
      </c>
      <c r="C20">
        <v>4.5624232498180019E-2</v>
      </c>
      <c r="D20">
        <v>-5.7842853460694267E-2</v>
      </c>
      <c r="E20">
        <v>4.0001322748497818E-2</v>
      </c>
      <c r="F20">
        <v>-5.7918869216627457E-3</v>
      </c>
      <c r="G20">
        <v>6.211576118168597E-2</v>
      </c>
      <c r="H20">
        <v>4.4168194663142424E-2</v>
      </c>
      <c r="I20">
        <v>-2.8721815325100038E-2</v>
      </c>
      <c r="J20">
        <v>-9.391245935954419E-2</v>
      </c>
      <c r="K20">
        <v>-2.4883407086659683E-2</v>
      </c>
      <c r="L20">
        <v>8.9354387417642553E-2</v>
      </c>
      <c r="M20">
        <v>-0.12256564418825876</v>
      </c>
      <c r="N20">
        <v>0.13253734449134036</v>
      </c>
      <c r="O20">
        <v>0.11029625453097774</v>
      </c>
      <c r="P20">
        <v>-3.1752725426768762E-2</v>
      </c>
      <c r="Q20">
        <v>6.6027443051784096E-2</v>
      </c>
      <c r="R20">
        <v>-1.3725292866271437E-2</v>
      </c>
      <c r="S20">
        <v>0.17015879173931173</v>
      </c>
      <c r="T20">
        <v>1</v>
      </c>
    </row>
    <row r="21" spans="1:22" ht="15" thickBot="1" x14ac:dyDescent="0.4">
      <c r="A21" s="14" t="s">
        <v>24</v>
      </c>
      <c r="B21" s="14">
        <v>5.0260659396495801E-2</v>
      </c>
      <c r="C21" s="14">
        <v>-3.060607747565668E-2</v>
      </c>
      <c r="D21" s="14">
        <v>7.9592901538541289E-2</v>
      </c>
      <c r="E21" s="14">
        <v>-6.9713454169981703E-2</v>
      </c>
      <c r="F21" s="14">
        <v>-3.7671147753285221E-2</v>
      </c>
      <c r="G21" s="14">
        <v>-2.8038100317663155E-4</v>
      </c>
      <c r="H21" s="14">
        <v>6.0731345441564317E-3</v>
      </c>
      <c r="I21" s="14">
        <v>-0.12065309412269906</v>
      </c>
      <c r="J21" s="14">
        <v>2.0332368349962073E-2</v>
      </c>
      <c r="K21" s="14">
        <v>-2.0956920937087752E-2</v>
      </c>
      <c r="L21" s="14">
        <v>-2.0995149053851673E-3</v>
      </c>
      <c r="M21" s="14">
        <v>1.8210898569866378E-3</v>
      </c>
      <c r="N21" s="14">
        <v>-2.4792777046772775E-2</v>
      </c>
      <c r="O21" s="14">
        <v>-5.3461347374984078E-2</v>
      </c>
      <c r="P21" s="14">
        <v>0.21689035783264285</v>
      </c>
      <c r="Q21" s="14">
        <v>-1.2686113874636735E-2</v>
      </c>
      <c r="R21" s="14">
        <v>-8.4462889262544291E-2</v>
      </c>
      <c r="S21" s="14">
        <v>-2.6116757676056368E-2</v>
      </c>
      <c r="T21" s="14">
        <v>-7.7550660208055427E-2</v>
      </c>
      <c r="U21" s="14">
        <v>1</v>
      </c>
    </row>
    <row r="24" spans="1:22" ht="21" x14ac:dyDescent="0.5">
      <c r="A24" s="16" t="s">
        <v>118</v>
      </c>
    </row>
    <row r="26" spans="1:22" ht="15.5" x14ac:dyDescent="0.35">
      <c r="B26" s="17" t="s">
        <v>113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pans="1:22" ht="15.5" x14ac:dyDescent="0.35"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1:22" ht="15.5" x14ac:dyDescent="0.35">
      <c r="B28" s="17" t="s">
        <v>114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1:22" ht="15.5" x14ac:dyDescent="0.35"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1:22" ht="15.5" x14ac:dyDescent="0.35">
      <c r="B30" s="17" t="s">
        <v>115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spans="1:22" ht="15.5" x14ac:dyDescent="0.35"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1:22" ht="15.5" x14ac:dyDescent="0.35">
      <c r="B32" s="17" t="s">
        <v>116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spans="1:22" ht="15.5" x14ac:dyDescent="0.35"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2" ht="15.5" x14ac:dyDescent="0.35">
      <c r="B34" s="17" t="s">
        <v>117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7" spans="1:22" ht="18.5" x14ac:dyDescent="0.45">
      <c r="A37" s="19" t="s">
        <v>112</v>
      </c>
    </row>
    <row r="39" spans="1:22" x14ac:dyDescent="0.35">
      <c r="B39" s="31" t="s">
        <v>119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 spans="1:22" x14ac:dyDescent="0.35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</row>
    <row r="41" spans="1:22" x14ac:dyDescent="0.35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 spans="1:22" x14ac:dyDescent="0.35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</row>
    <row r="43" spans="1:22" x14ac:dyDescent="0.3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</row>
    <row r="44" spans="1:22" x14ac:dyDescent="0.35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</row>
  </sheetData>
  <mergeCells count="1">
    <mergeCell ref="B39:O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zoomScaleNormal="100" workbookViewId="0">
      <selection activeCell="E21" sqref="E21"/>
    </sheetView>
  </sheetViews>
  <sheetFormatPr defaultColWidth="8.6328125" defaultRowHeight="14.5" x14ac:dyDescent="0.35"/>
  <cols>
    <col min="1" max="1" width="6" customWidth="1"/>
    <col min="2" max="2" width="70" customWidth="1"/>
    <col min="3" max="3" width="25" customWidth="1"/>
  </cols>
  <sheetData>
    <row r="1" spans="1:3" ht="27.75" customHeight="1" x14ac:dyDescent="0.35">
      <c r="A1" s="28" t="s">
        <v>63</v>
      </c>
      <c r="B1" s="28"/>
      <c r="C1" s="28"/>
    </row>
    <row r="3" spans="1:3" x14ac:dyDescent="0.35">
      <c r="A3" s="4"/>
      <c r="B3" s="4" t="s">
        <v>65</v>
      </c>
      <c r="C3" s="4" t="s">
        <v>66</v>
      </c>
    </row>
    <row r="4" spans="1:3" ht="31.5" customHeight="1" x14ac:dyDescent="0.35">
      <c r="A4" s="22" t="s">
        <v>5</v>
      </c>
      <c r="B4" s="23" t="s">
        <v>67</v>
      </c>
      <c r="C4" s="24" t="s">
        <v>68</v>
      </c>
    </row>
    <row r="5" spans="1:3" ht="31.5" customHeight="1" x14ac:dyDescent="0.35">
      <c r="A5" s="22" t="s">
        <v>6</v>
      </c>
      <c r="B5" s="23" t="s">
        <v>69</v>
      </c>
      <c r="C5" s="24" t="s">
        <v>70</v>
      </c>
    </row>
    <row r="6" spans="1:3" ht="31.5" customHeight="1" x14ac:dyDescent="0.35">
      <c r="A6" s="22" t="s">
        <v>7</v>
      </c>
      <c r="B6" s="23" t="s">
        <v>71</v>
      </c>
      <c r="C6" s="24" t="s">
        <v>72</v>
      </c>
    </row>
    <row r="7" spans="1:3" ht="31.5" customHeight="1" x14ac:dyDescent="0.35">
      <c r="A7" s="22" t="s">
        <v>8</v>
      </c>
      <c r="B7" s="23" t="s">
        <v>73</v>
      </c>
      <c r="C7" s="24" t="s">
        <v>74</v>
      </c>
    </row>
    <row r="8" spans="1:3" ht="31.5" customHeight="1" x14ac:dyDescent="0.35">
      <c r="A8" s="22" t="s">
        <v>9</v>
      </c>
      <c r="B8" s="23" t="s">
        <v>75</v>
      </c>
      <c r="C8" s="24" t="s">
        <v>76</v>
      </c>
    </row>
    <row r="9" spans="1:3" ht="31.5" customHeight="1" x14ac:dyDescent="0.35">
      <c r="A9" s="22" t="s">
        <v>10</v>
      </c>
      <c r="B9" s="23" t="s">
        <v>77</v>
      </c>
      <c r="C9" s="24" t="s">
        <v>78</v>
      </c>
    </row>
    <row r="10" spans="1:3" ht="31.5" customHeight="1" x14ac:dyDescent="0.35">
      <c r="A10" s="22" t="s">
        <v>11</v>
      </c>
      <c r="B10" s="23" t="s">
        <v>79</v>
      </c>
      <c r="C10" s="24" t="s">
        <v>80</v>
      </c>
    </row>
    <row r="11" spans="1:3" ht="31.5" customHeight="1" x14ac:dyDescent="0.35">
      <c r="A11" s="22" t="s">
        <v>12</v>
      </c>
      <c r="B11" s="23" t="s">
        <v>81</v>
      </c>
      <c r="C11" s="24" t="s">
        <v>82</v>
      </c>
    </row>
    <row r="12" spans="1:3" ht="31.5" customHeight="1" x14ac:dyDescent="0.35">
      <c r="A12" s="22" t="s">
        <v>13</v>
      </c>
      <c r="B12" s="23" t="s">
        <v>83</v>
      </c>
      <c r="C12" s="24" t="s">
        <v>84</v>
      </c>
    </row>
    <row r="13" spans="1:3" ht="31.5" customHeight="1" x14ac:dyDescent="0.35">
      <c r="A13" s="22" t="s">
        <v>14</v>
      </c>
      <c r="B13" s="23" t="s">
        <v>85</v>
      </c>
      <c r="C13" s="24" t="s">
        <v>86</v>
      </c>
    </row>
    <row r="14" spans="1:3" ht="31.5" customHeight="1" x14ac:dyDescent="0.35">
      <c r="A14" s="25" t="s">
        <v>15</v>
      </c>
      <c r="B14" s="26" t="s">
        <v>87</v>
      </c>
      <c r="C14" s="27" t="s">
        <v>88</v>
      </c>
    </row>
    <row r="15" spans="1:3" ht="31.5" customHeight="1" x14ac:dyDescent="0.35">
      <c r="A15" s="25" t="s">
        <v>16</v>
      </c>
      <c r="B15" s="26" t="s">
        <v>89</v>
      </c>
      <c r="C15" s="27" t="s">
        <v>90</v>
      </c>
    </row>
    <row r="16" spans="1:3" ht="31.5" customHeight="1" x14ac:dyDescent="0.35">
      <c r="A16" s="25" t="s">
        <v>17</v>
      </c>
      <c r="B16" s="26" t="s">
        <v>91</v>
      </c>
      <c r="C16" s="27" t="s">
        <v>92</v>
      </c>
    </row>
    <row r="17" spans="1:3" ht="31.5" customHeight="1" x14ac:dyDescent="0.35">
      <c r="A17" s="25" t="s">
        <v>18</v>
      </c>
      <c r="B17" s="26" t="s">
        <v>93</v>
      </c>
      <c r="C17" s="27" t="s">
        <v>94</v>
      </c>
    </row>
    <row r="18" spans="1:3" ht="31.5" customHeight="1" x14ac:dyDescent="0.35">
      <c r="A18" s="25" t="s">
        <v>19</v>
      </c>
      <c r="B18" s="26" t="s">
        <v>95</v>
      </c>
      <c r="C18" s="27" t="s">
        <v>96</v>
      </c>
    </row>
    <row r="19" spans="1:3" ht="31.5" customHeight="1" x14ac:dyDescent="0.35">
      <c r="A19" s="25" t="s">
        <v>20</v>
      </c>
      <c r="B19" s="26" t="s">
        <v>97</v>
      </c>
      <c r="C19" s="27" t="s">
        <v>98</v>
      </c>
    </row>
    <row r="20" spans="1:3" ht="31.5" customHeight="1" x14ac:dyDescent="0.35">
      <c r="A20" s="25" t="s">
        <v>21</v>
      </c>
      <c r="B20" s="26" t="s">
        <v>99</v>
      </c>
      <c r="C20" s="27" t="s">
        <v>100</v>
      </c>
    </row>
    <row r="21" spans="1:3" ht="31.5" customHeight="1" x14ac:dyDescent="0.35">
      <c r="A21" s="25" t="s">
        <v>22</v>
      </c>
      <c r="B21" s="26" t="s">
        <v>101</v>
      </c>
      <c r="C21" s="27" t="s">
        <v>102</v>
      </c>
    </row>
    <row r="22" spans="1:3" ht="31.5" customHeight="1" x14ac:dyDescent="0.35">
      <c r="A22" s="25" t="s">
        <v>23</v>
      </c>
      <c r="B22" s="26" t="s">
        <v>103</v>
      </c>
      <c r="C22" s="27" t="s">
        <v>104</v>
      </c>
    </row>
    <row r="23" spans="1:3" ht="31.5" customHeight="1" x14ac:dyDescent="0.35">
      <c r="A23" s="25" t="s">
        <v>24</v>
      </c>
      <c r="B23" s="26" t="s">
        <v>105</v>
      </c>
      <c r="C23" s="27" t="s">
        <v>106</v>
      </c>
    </row>
    <row r="25" spans="1:3" x14ac:dyDescent="0.35">
      <c r="A25" s="29"/>
      <c r="B25" s="29"/>
      <c r="C25" s="29"/>
    </row>
  </sheetData>
  <mergeCells count="2">
    <mergeCell ref="A1:C1"/>
    <mergeCell ref="A25:C2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H1"/>
    </sheetView>
  </sheetViews>
  <sheetFormatPr defaultColWidth="8.6328125" defaultRowHeight="14.5" x14ac:dyDescent="0.35"/>
  <cols>
    <col min="1" max="1" width="6" customWidth="1"/>
    <col min="2" max="2" width="102.26953125" customWidth="1"/>
    <col min="3" max="8" width="16" customWidth="1"/>
  </cols>
  <sheetData>
    <row r="1" spans="1:8" ht="27.75" customHeight="1" x14ac:dyDescent="0.35">
      <c r="A1" s="32" t="s">
        <v>107</v>
      </c>
      <c r="B1" s="32"/>
      <c r="C1" s="32"/>
      <c r="D1" s="32"/>
      <c r="E1" s="32"/>
      <c r="F1" s="32"/>
      <c r="G1" s="32"/>
      <c r="H1" s="32"/>
    </row>
    <row r="3" spans="1:8" ht="30" customHeight="1" x14ac:dyDescent="0.35">
      <c r="A3" s="1" t="s">
        <v>64</v>
      </c>
      <c r="B3" s="1" t="s">
        <v>65</v>
      </c>
      <c r="C3" s="1" t="s">
        <v>33</v>
      </c>
      <c r="D3" s="1" t="s">
        <v>32</v>
      </c>
      <c r="E3" s="1" t="s">
        <v>34</v>
      </c>
      <c r="F3" s="1" t="s">
        <v>30</v>
      </c>
      <c r="G3" s="1" t="s">
        <v>31</v>
      </c>
      <c r="H3" s="1" t="s">
        <v>108</v>
      </c>
    </row>
    <row r="4" spans="1:8" ht="36" customHeight="1" x14ac:dyDescent="0.35">
      <c r="A4" s="5" t="s">
        <v>5</v>
      </c>
      <c r="B4" s="6" t="s">
        <v>67</v>
      </c>
      <c r="C4" s="7">
        <f>COUNTIF('Survey Responses'!F2:F151,"Strongly Disagree")</f>
        <v>0</v>
      </c>
      <c r="D4" s="7">
        <f>COUNTIF('Survey Responses'!F2:F151,"Disagree")</f>
        <v>0</v>
      </c>
      <c r="E4" s="7">
        <f>COUNTIF('Survey Responses'!F2:F151,"Neutral")</f>
        <v>0</v>
      </c>
      <c r="F4" s="7">
        <f>COUNTIF('Survey Responses'!F2:F151,"Agree")</f>
        <v>0</v>
      </c>
      <c r="G4" s="7">
        <f>COUNTIF('Survey Responses'!F2:F151,"Strongly Agree")</f>
        <v>0</v>
      </c>
      <c r="H4" s="7">
        <f t="shared" ref="H4:H23" si="0">SUM(C4:G4)</f>
        <v>0</v>
      </c>
    </row>
    <row r="5" spans="1:8" ht="36" customHeight="1" x14ac:dyDescent="0.35">
      <c r="A5" s="5" t="s">
        <v>6</v>
      </c>
      <c r="B5" s="6" t="s">
        <v>69</v>
      </c>
      <c r="C5" s="7">
        <f>COUNTIF('Survey Responses'!G2:G151,"Strongly Disagree")</f>
        <v>0</v>
      </c>
      <c r="D5" s="7">
        <f>COUNTIF('Survey Responses'!G2:G151,"Disagree")</f>
        <v>0</v>
      </c>
      <c r="E5" s="7">
        <f>COUNTIF('Survey Responses'!G2:G151,"Neutral")</f>
        <v>0</v>
      </c>
      <c r="F5" s="7">
        <f>COUNTIF('Survey Responses'!G2:G151,"Agree")</f>
        <v>0</v>
      </c>
      <c r="G5" s="7">
        <f>COUNTIF('Survey Responses'!G2:G151,"Strongly Agree")</f>
        <v>0</v>
      </c>
      <c r="H5" s="7">
        <f t="shared" si="0"/>
        <v>0</v>
      </c>
    </row>
    <row r="6" spans="1:8" ht="36" customHeight="1" x14ac:dyDescent="0.35">
      <c r="A6" s="5" t="s">
        <v>7</v>
      </c>
      <c r="B6" s="6" t="s">
        <v>71</v>
      </c>
      <c r="C6" s="7">
        <f>COUNTIF('Survey Responses'!H2:H151,"Strongly Disagree")</f>
        <v>0</v>
      </c>
      <c r="D6" s="7">
        <f>COUNTIF('Survey Responses'!H2:H151,"Disagree")</f>
        <v>0</v>
      </c>
      <c r="E6" s="7">
        <f>COUNTIF('Survey Responses'!H2:H151,"Neutral")</f>
        <v>0</v>
      </c>
      <c r="F6" s="7">
        <f>COUNTIF('Survey Responses'!H2:H151,"Agree")</f>
        <v>0</v>
      </c>
      <c r="G6" s="7">
        <f>COUNTIF('Survey Responses'!H2:H151,"Strongly Agree")</f>
        <v>0</v>
      </c>
      <c r="H6" s="7">
        <f t="shared" si="0"/>
        <v>0</v>
      </c>
    </row>
    <row r="7" spans="1:8" ht="36" customHeight="1" x14ac:dyDescent="0.35">
      <c r="A7" s="5" t="s">
        <v>8</v>
      </c>
      <c r="B7" s="6" t="s">
        <v>73</v>
      </c>
      <c r="C7" s="7">
        <f>COUNTIF('Survey Responses'!I2:I151,"Strongly Disagree")</f>
        <v>0</v>
      </c>
      <c r="D7" s="7">
        <f>COUNTIF('Survey Responses'!I2:I151,"Disagree")</f>
        <v>0</v>
      </c>
      <c r="E7" s="7">
        <f>COUNTIF('Survey Responses'!I2:I151,"Neutral")</f>
        <v>0</v>
      </c>
      <c r="F7" s="7">
        <f>COUNTIF('Survey Responses'!I2:I151,"Agree")</f>
        <v>0</v>
      </c>
      <c r="G7" s="7">
        <f>COUNTIF('Survey Responses'!I2:I151,"Strongly Agree")</f>
        <v>0</v>
      </c>
      <c r="H7" s="7">
        <f t="shared" si="0"/>
        <v>0</v>
      </c>
    </row>
    <row r="8" spans="1:8" ht="36" customHeight="1" x14ac:dyDescent="0.35">
      <c r="A8" s="5" t="s">
        <v>9</v>
      </c>
      <c r="B8" s="6" t="s">
        <v>75</v>
      </c>
      <c r="C8" s="7">
        <f>COUNTIF('Survey Responses'!J2:J151,"Strongly Disagree")</f>
        <v>0</v>
      </c>
      <c r="D8" s="7">
        <f>COUNTIF('Survey Responses'!J2:J151,"Disagree")</f>
        <v>0</v>
      </c>
      <c r="E8" s="7">
        <f>COUNTIF('Survey Responses'!J2:J151,"Neutral")</f>
        <v>0</v>
      </c>
      <c r="F8" s="7">
        <f>COUNTIF('Survey Responses'!J2:J151,"Agree")</f>
        <v>0</v>
      </c>
      <c r="G8" s="7">
        <f>COUNTIF('Survey Responses'!J2:J151,"Strongly Agree")</f>
        <v>0</v>
      </c>
      <c r="H8" s="7">
        <f t="shared" si="0"/>
        <v>0</v>
      </c>
    </row>
    <row r="9" spans="1:8" ht="36" customHeight="1" x14ac:dyDescent="0.35">
      <c r="A9" s="5" t="s">
        <v>10</v>
      </c>
      <c r="B9" s="6" t="s">
        <v>77</v>
      </c>
      <c r="C9" s="7">
        <f>COUNTIF('Survey Responses'!K2:K151,"Strongly Disagree")</f>
        <v>0</v>
      </c>
      <c r="D9" s="7">
        <f>COUNTIF('Survey Responses'!K2:K151,"Disagree")</f>
        <v>0</v>
      </c>
      <c r="E9" s="7">
        <f>COUNTIF('Survey Responses'!K2:K151,"Neutral")</f>
        <v>0</v>
      </c>
      <c r="F9" s="7">
        <f>COUNTIF('Survey Responses'!K2:K151,"Agree")</f>
        <v>0</v>
      </c>
      <c r="G9" s="7">
        <f>COUNTIF('Survey Responses'!K2:K151,"Strongly Agree")</f>
        <v>0</v>
      </c>
      <c r="H9" s="7">
        <f t="shared" si="0"/>
        <v>0</v>
      </c>
    </row>
    <row r="10" spans="1:8" ht="36" customHeight="1" x14ac:dyDescent="0.35">
      <c r="A10" s="5" t="s">
        <v>11</v>
      </c>
      <c r="B10" s="6" t="s">
        <v>79</v>
      </c>
      <c r="C10" s="7">
        <f>COUNTIF('Survey Responses'!L2:L151,"Strongly Disagree")</f>
        <v>0</v>
      </c>
      <c r="D10" s="7">
        <f>COUNTIF('Survey Responses'!L2:L151,"Disagree")</f>
        <v>0</v>
      </c>
      <c r="E10" s="7">
        <f>COUNTIF('Survey Responses'!L2:L151,"Neutral")</f>
        <v>0</v>
      </c>
      <c r="F10" s="7">
        <f>COUNTIF('Survey Responses'!L2:L151,"Agree")</f>
        <v>0</v>
      </c>
      <c r="G10" s="7">
        <f>COUNTIF('Survey Responses'!L2:L151,"Strongly Agree")</f>
        <v>0</v>
      </c>
      <c r="H10" s="7">
        <f t="shared" si="0"/>
        <v>0</v>
      </c>
    </row>
    <row r="11" spans="1:8" ht="36" customHeight="1" x14ac:dyDescent="0.35">
      <c r="A11" s="5" t="s">
        <v>12</v>
      </c>
      <c r="B11" s="6" t="s">
        <v>81</v>
      </c>
      <c r="C11" s="7">
        <f>COUNTIF('Survey Responses'!M2:M151,"Strongly Disagree")</f>
        <v>0</v>
      </c>
      <c r="D11" s="7">
        <f>COUNTIF('Survey Responses'!M2:M151,"Disagree")</f>
        <v>0</v>
      </c>
      <c r="E11" s="7">
        <f>COUNTIF('Survey Responses'!M2:M151,"Neutral")</f>
        <v>0</v>
      </c>
      <c r="F11" s="7">
        <f>COUNTIF('Survey Responses'!M2:M151,"Agree")</f>
        <v>0</v>
      </c>
      <c r="G11" s="7">
        <f>COUNTIF('Survey Responses'!M2:M151,"Strongly Agree")</f>
        <v>0</v>
      </c>
      <c r="H11" s="7">
        <f t="shared" si="0"/>
        <v>0</v>
      </c>
    </row>
    <row r="12" spans="1:8" ht="36" customHeight="1" x14ac:dyDescent="0.35">
      <c r="A12" s="5" t="s">
        <v>13</v>
      </c>
      <c r="B12" s="6" t="s">
        <v>83</v>
      </c>
      <c r="C12" s="7">
        <f>COUNTIF('Survey Responses'!N2:N151,"Strongly Disagree")</f>
        <v>0</v>
      </c>
      <c r="D12" s="7">
        <f>COUNTIF('Survey Responses'!N2:N151,"Disagree")</f>
        <v>0</v>
      </c>
      <c r="E12" s="7">
        <f>COUNTIF('Survey Responses'!N2:N151,"Neutral")</f>
        <v>0</v>
      </c>
      <c r="F12" s="7">
        <f>COUNTIF('Survey Responses'!N2:N151,"Agree")</f>
        <v>0</v>
      </c>
      <c r="G12" s="7">
        <f>COUNTIF('Survey Responses'!N2:N151,"Strongly Agree")</f>
        <v>0</v>
      </c>
      <c r="H12" s="7">
        <f t="shared" si="0"/>
        <v>0</v>
      </c>
    </row>
    <row r="13" spans="1:8" ht="36" customHeight="1" x14ac:dyDescent="0.35">
      <c r="A13" s="5" t="s">
        <v>14</v>
      </c>
      <c r="B13" s="6" t="s">
        <v>85</v>
      </c>
      <c r="C13" s="7">
        <f>COUNTIF('Survey Responses'!O2:O151,"Strongly Disagree")</f>
        <v>0</v>
      </c>
      <c r="D13" s="7">
        <f>COUNTIF('Survey Responses'!O2:O151,"Disagree")</f>
        <v>0</v>
      </c>
      <c r="E13" s="7">
        <f>COUNTIF('Survey Responses'!O2:O151,"Neutral")</f>
        <v>0</v>
      </c>
      <c r="F13" s="7">
        <f>COUNTIF('Survey Responses'!O2:O151,"Agree")</f>
        <v>0</v>
      </c>
      <c r="G13" s="7">
        <f>COUNTIF('Survey Responses'!O2:O151,"Strongly Agree")</f>
        <v>0</v>
      </c>
      <c r="H13" s="7">
        <f t="shared" si="0"/>
        <v>0</v>
      </c>
    </row>
    <row r="14" spans="1:8" ht="36" customHeight="1" x14ac:dyDescent="0.35">
      <c r="A14" s="8" t="s">
        <v>15</v>
      </c>
      <c r="B14" s="9" t="s">
        <v>87</v>
      </c>
      <c r="C14" s="10">
        <f>COUNTIF('Survey Responses'!P2:P151,"Strongly Disagree")</f>
        <v>0</v>
      </c>
      <c r="D14" s="10">
        <f>COUNTIF('Survey Responses'!P2:P151,"Disagree")</f>
        <v>0</v>
      </c>
      <c r="E14" s="10">
        <f>COUNTIF('Survey Responses'!P2:P151,"Neutral")</f>
        <v>0</v>
      </c>
      <c r="F14" s="10">
        <f>COUNTIF('Survey Responses'!P2:P151,"Agree")</f>
        <v>0</v>
      </c>
      <c r="G14" s="10">
        <f>COUNTIF('Survey Responses'!P2:P151,"Strongly Agree")</f>
        <v>0</v>
      </c>
      <c r="H14" s="10">
        <f t="shared" si="0"/>
        <v>0</v>
      </c>
    </row>
    <row r="15" spans="1:8" ht="36" customHeight="1" x14ac:dyDescent="0.35">
      <c r="A15" s="8" t="s">
        <v>16</v>
      </c>
      <c r="B15" s="9" t="s">
        <v>89</v>
      </c>
      <c r="C15" s="10">
        <f>COUNTIF('Survey Responses'!Q2:Q151,"Strongly Disagree")</f>
        <v>0</v>
      </c>
      <c r="D15" s="10">
        <f>COUNTIF('Survey Responses'!Q2:Q151,"Disagree")</f>
        <v>0</v>
      </c>
      <c r="E15" s="10">
        <f>COUNTIF('Survey Responses'!Q2:Q151,"Neutral")</f>
        <v>0</v>
      </c>
      <c r="F15" s="10">
        <f>COUNTIF('Survey Responses'!Q2:Q151,"Agree")</f>
        <v>0</v>
      </c>
      <c r="G15" s="10">
        <f>COUNTIF('Survey Responses'!Q2:Q151,"Strongly Agree")</f>
        <v>0</v>
      </c>
      <c r="H15" s="10">
        <f t="shared" si="0"/>
        <v>0</v>
      </c>
    </row>
    <row r="16" spans="1:8" ht="36" customHeight="1" x14ac:dyDescent="0.35">
      <c r="A16" s="8" t="s">
        <v>17</v>
      </c>
      <c r="B16" s="9" t="s">
        <v>91</v>
      </c>
      <c r="C16" s="10">
        <f>COUNTIF('Survey Responses'!R2:R151,"Strongly Disagree")</f>
        <v>0</v>
      </c>
      <c r="D16" s="10">
        <f>COUNTIF('Survey Responses'!R2:R151,"Disagree")</f>
        <v>0</v>
      </c>
      <c r="E16" s="10">
        <f>COUNTIF('Survey Responses'!R2:R151,"Neutral")</f>
        <v>0</v>
      </c>
      <c r="F16" s="10">
        <f>COUNTIF('Survey Responses'!R2:R151,"Agree")</f>
        <v>0</v>
      </c>
      <c r="G16" s="10">
        <f>COUNTIF('Survey Responses'!R2:R151,"Strongly Agree")</f>
        <v>0</v>
      </c>
      <c r="H16" s="10">
        <f t="shared" si="0"/>
        <v>0</v>
      </c>
    </row>
    <row r="17" spans="1:8" ht="36" customHeight="1" x14ac:dyDescent="0.35">
      <c r="A17" s="8" t="s">
        <v>18</v>
      </c>
      <c r="B17" s="9" t="s">
        <v>93</v>
      </c>
      <c r="C17" s="10">
        <f>COUNTIF('Survey Responses'!S2:S151,"Strongly Disagree")</f>
        <v>0</v>
      </c>
      <c r="D17" s="10">
        <f>COUNTIF('Survey Responses'!S2:S151,"Disagree")</f>
        <v>0</v>
      </c>
      <c r="E17" s="10">
        <f>COUNTIF('Survey Responses'!S2:S151,"Neutral")</f>
        <v>0</v>
      </c>
      <c r="F17" s="10">
        <f>COUNTIF('Survey Responses'!S2:S151,"Agree")</f>
        <v>0</v>
      </c>
      <c r="G17" s="10">
        <f>COUNTIF('Survey Responses'!S2:S151,"Strongly Agree")</f>
        <v>0</v>
      </c>
      <c r="H17" s="10">
        <f t="shared" si="0"/>
        <v>0</v>
      </c>
    </row>
    <row r="18" spans="1:8" ht="36" customHeight="1" x14ac:dyDescent="0.35">
      <c r="A18" s="8" t="s">
        <v>19</v>
      </c>
      <c r="B18" s="9" t="s">
        <v>95</v>
      </c>
      <c r="C18" s="10">
        <f>COUNTIF('Survey Responses'!T2:T151,"Strongly Disagree")</f>
        <v>0</v>
      </c>
      <c r="D18" s="10">
        <f>COUNTIF('Survey Responses'!T2:T151,"Disagree")</f>
        <v>0</v>
      </c>
      <c r="E18" s="10">
        <f>COUNTIF('Survey Responses'!T2:T151,"Neutral")</f>
        <v>0</v>
      </c>
      <c r="F18" s="10">
        <f>COUNTIF('Survey Responses'!T2:T151,"Agree")</f>
        <v>0</v>
      </c>
      <c r="G18" s="10">
        <f>COUNTIF('Survey Responses'!T2:T151,"Strongly Agree")</f>
        <v>0</v>
      </c>
      <c r="H18" s="10">
        <f t="shared" si="0"/>
        <v>0</v>
      </c>
    </row>
    <row r="19" spans="1:8" ht="36" customHeight="1" x14ac:dyDescent="0.35">
      <c r="A19" s="8" t="s">
        <v>20</v>
      </c>
      <c r="B19" s="9" t="s">
        <v>97</v>
      </c>
      <c r="C19" s="10">
        <f>COUNTIF('Survey Responses'!U2:U151,"Strongly Disagree")</f>
        <v>0</v>
      </c>
      <c r="D19" s="10">
        <f>COUNTIF('Survey Responses'!U2:U151,"Disagree")</f>
        <v>0</v>
      </c>
      <c r="E19" s="10">
        <f>COUNTIF('Survey Responses'!U2:U151,"Neutral")</f>
        <v>0</v>
      </c>
      <c r="F19" s="10">
        <f>COUNTIF('Survey Responses'!U2:U151,"Agree")</f>
        <v>0</v>
      </c>
      <c r="G19" s="10">
        <f>COUNTIF('Survey Responses'!U2:U151,"Strongly Agree")</f>
        <v>0</v>
      </c>
      <c r="H19" s="10">
        <f t="shared" si="0"/>
        <v>0</v>
      </c>
    </row>
    <row r="20" spans="1:8" ht="36" customHeight="1" x14ac:dyDescent="0.35">
      <c r="A20" s="8" t="s">
        <v>21</v>
      </c>
      <c r="B20" s="9" t="s">
        <v>99</v>
      </c>
      <c r="C20" s="10">
        <f>COUNTIF('Survey Responses'!V2:V151,"Strongly Disagree")</f>
        <v>0</v>
      </c>
      <c r="D20" s="10">
        <f>COUNTIF('Survey Responses'!V2:V151,"Disagree")</f>
        <v>0</v>
      </c>
      <c r="E20" s="10">
        <f>COUNTIF('Survey Responses'!V2:V151,"Neutral")</f>
        <v>0</v>
      </c>
      <c r="F20" s="10">
        <f>COUNTIF('Survey Responses'!V2:V151,"Agree")</f>
        <v>0</v>
      </c>
      <c r="G20" s="10">
        <f>COUNTIF('Survey Responses'!V2:V151,"Strongly Agree")</f>
        <v>0</v>
      </c>
      <c r="H20" s="10">
        <f t="shared" si="0"/>
        <v>0</v>
      </c>
    </row>
    <row r="21" spans="1:8" ht="36" customHeight="1" x14ac:dyDescent="0.35">
      <c r="A21" s="8" t="s">
        <v>22</v>
      </c>
      <c r="B21" s="9" t="s">
        <v>101</v>
      </c>
      <c r="C21" s="10">
        <f>COUNTIF('Survey Responses'!W2:W151,"Strongly Disagree")</f>
        <v>0</v>
      </c>
      <c r="D21" s="10">
        <f>COUNTIF('Survey Responses'!W2:W151,"Disagree")</f>
        <v>0</v>
      </c>
      <c r="E21" s="10">
        <f>COUNTIF('Survey Responses'!W2:W151,"Neutral")</f>
        <v>0</v>
      </c>
      <c r="F21" s="10">
        <f>COUNTIF('Survey Responses'!W2:W151,"Agree")</f>
        <v>0</v>
      </c>
      <c r="G21" s="10">
        <f>COUNTIF('Survey Responses'!W2:W151,"Strongly Agree")</f>
        <v>0</v>
      </c>
      <c r="H21" s="10">
        <f t="shared" si="0"/>
        <v>0</v>
      </c>
    </row>
    <row r="22" spans="1:8" ht="36" customHeight="1" x14ac:dyDescent="0.35">
      <c r="A22" s="8" t="s">
        <v>23</v>
      </c>
      <c r="B22" s="9" t="s">
        <v>103</v>
      </c>
      <c r="C22" s="10">
        <f>COUNTIF('Survey Responses'!X2:X151,"Strongly Disagree")</f>
        <v>0</v>
      </c>
      <c r="D22" s="10">
        <f>COUNTIF('Survey Responses'!X2:X151,"Disagree")</f>
        <v>0</v>
      </c>
      <c r="E22" s="10">
        <f>COUNTIF('Survey Responses'!X2:X151,"Neutral")</f>
        <v>0</v>
      </c>
      <c r="F22" s="10">
        <f>COUNTIF('Survey Responses'!X2:X151,"Agree")</f>
        <v>0</v>
      </c>
      <c r="G22" s="10">
        <f>COUNTIF('Survey Responses'!X2:X151,"Strongly Agree")</f>
        <v>0</v>
      </c>
      <c r="H22" s="10">
        <f t="shared" si="0"/>
        <v>0</v>
      </c>
    </row>
    <row r="23" spans="1:8" ht="36" customHeight="1" x14ac:dyDescent="0.35">
      <c r="A23" s="8" t="s">
        <v>24</v>
      </c>
      <c r="B23" s="9" t="s">
        <v>105</v>
      </c>
      <c r="C23" s="10">
        <f>COUNTIF('Survey Responses'!Y2:Y151,"Strongly Disagree")</f>
        <v>0</v>
      </c>
      <c r="D23" s="10">
        <f>COUNTIF('Survey Responses'!Y2:Y151,"Disagree")</f>
        <v>0</v>
      </c>
      <c r="E23" s="10">
        <f>COUNTIF('Survey Responses'!Y2:Y151,"Neutral")</f>
        <v>0</v>
      </c>
      <c r="F23" s="10">
        <f>COUNTIF('Survey Responses'!Y2:Y151,"Agree")</f>
        <v>0</v>
      </c>
      <c r="G23" s="10">
        <f>COUNTIF('Survey Responses'!Y2:Y151,"Strongly Agree")</f>
        <v>0</v>
      </c>
      <c r="H23" s="10">
        <f t="shared" si="0"/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 Responses</vt:lpstr>
      <vt:lpstr>Regression</vt:lpstr>
      <vt:lpstr>Analysis</vt:lpstr>
      <vt:lpstr>Coorelation</vt:lpstr>
      <vt:lpstr>Questions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SAKET KUMAR SINHA</cp:lastModifiedBy>
  <cp:revision>0</cp:revision>
  <dcterms:created xsi:type="dcterms:W3CDTF">2026-04-16T13:27:03Z</dcterms:created>
  <dcterms:modified xsi:type="dcterms:W3CDTF">2026-05-08T20:37:55Z</dcterms:modified>
  <dc:language>en-US</dc:language>
</cp:coreProperties>
</file>